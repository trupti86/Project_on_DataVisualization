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drawings/drawing3.xml" ContentType="application/vnd.openxmlformats-officedocument.drawing+xml"/>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0615aabb1d7a51b4/Documents/"/>
    </mc:Choice>
  </mc:AlternateContent>
  <xr:revisionPtr revIDLastSave="4" documentId="13_ncr:1_{402733B7-05DC-42CB-B2DD-1A5E5A686571}" xr6:coauthVersionLast="47" xr6:coauthVersionMax="47" xr10:uidLastSave="{A2D3439B-0282-454D-AAF3-F8C6615D76C1}"/>
  <bookViews>
    <workbookView xWindow="-110" yWindow="-110" windowWidth="19420" windowHeight="10300" firstSheet="3" activeTab="7" xr2:uid="{9EC153E5-F021-4650-8522-F6331ED0D988}"/>
  </bookViews>
  <sheets>
    <sheet name="Sheet4" sheetId="4" r:id="rId1"/>
    <sheet name="Sheet5" sheetId="5" r:id="rId2"/>
    <sheet name="Sheet7" sheetId="7" r:id="rId3"/>
    <sheet name="Sheet10" sheetId="10" r:id="rId4"/>
    <sheet name="Sheet8" sheetId="8" r:id="rId5"/>
    <sheet name="Sheet1" sheetId="1" r:id="rId6"/>
    <sheet name="summery" sheetId="11" r:id="rId7"/>
    <sheet name="Dashboard" sheetId="12" r:id="rId8"/>
  </sheets>
  <externalReferences>
    <externalReference r:id="rId9"/>
    <externalReference r:id="rId10"/>
  </externalReferences>
  <definedNames>
    <definedName name="BData">[1]Break!$A:$I</definedName>
    <definedName name="EData">[1]Efficiency!$A:$Q</definedName>
    <definedName name="NativeTimeline_Order_Date">#N/A</definedName>
    <definedName name="PData">'[1]OverAll Performance'!$A:$J</definedName>
    <definedName name="Slicer_Country">#N/A</definedName>
    <definedName name="Slicer_Region">#N/A</definedName>
  </definedNames>
  <calcPr calcId="191029"/>
  <pivotCaches>
    <pivotCache cacheId="0" r:id="rId11"/>
    <pivotCache cacheId="1" r:id="rId12"/>
    <pivotCache cacheId="2" r:id="rId13"/>
    <pivotCache cacheId="3"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0" i="11" l="1"/>
  <c r="A150" i="11"/>
  <c r="G150" i="11" s="1"/>
  <c r="G149" i="11"/>
  <c r="F149" i="11"/>
  <c r="E149" i="11"/>
  <c r="D149" i="11"/>
  <c r="C149" i="11"/>
  <c r="A149" i="11"/>
  <c r="B149" i="11" s="1"/>
  <c r="B148" i="11"/>
  <c r="A148" i="11"/>
  <c r="G148" i="11" s="1"/>
  <c r="G147" i="11"/>
  <c r="F147" i="11"/>
  <c r="E147" i="11"/>
  <c r="A147" i="11"/>
  <c r="D147" i="11" s="1"/>
  <c r="B146" i="11"/>
  <c r="A146" i="11"/>
  <c r="G145" i="11"/>
  <c r="A145" i="11"/>
  <c r="F145" i="11" s="1"/>
  <c r="G144" i="11"/>
  <c r="F144" i="11"/>
  <c r="E144" i="11"/>
  <c r="D144" i="11"/>
  <c r="C144" i="11"/>
  <c r="B144" i="11"/>
  <c r="A144" i="11"/>
  <c r="A143" i="11"/>
  <c r="G142" i="11"/>
  <c r="F142" i="11"/>
  <c r="E142" i="11"/>
  <c r="D142" i="11"/>
  <c r="A142" i="11"/>
  <c r="C142" i="11" s="1"/>
  <c r="A141" i="11"/>
  <c r="C141" i="11" s="1"/>
  <c r="G140" i="11"/>
  <c r="F140" i="11"/>
  <c r="B140" i="11"/>
  <c r="A140" i="11"/>
  <c r="E140" i="11" s="1"/>
  <c r="A139" i="11"/>
  <c r="A138" i="11"/>
  <c r="G138" i="11" s="1"/>
  <c r="G137" i="11"/>
  <c r="F137" i="11"/>
  <c r="E137" i="11"/>
  <c r="D137" i="11"/>
  <c r="C137" i="11"/>
  <c r="A137" i="11"/>
  <c r="B137" i="11" s="1"/>
  <c r="B136" i="11"/>
  <c r="A136" i="11"/>
  <c r="G136" i="11" s="1"/>
  <c r="G135" i="11"/>
  <c r="F135" i="11"/>
  <c r="E135" i="11"/>
  <c r="A135" i="11"/>
  <c r="D135" i="11" s="1"/>
  <c r="A134" i="11"/>
  <c r="D134" i="11" s="1"/>
  <c r="G133" i="11"/>
  <c r="A133" i="11"/>
  <c r="F133" i="11" s="1"/>
  <c r="G132" i="11"/>
  <c r="F132" i="11"/>
  <c r="E132" i="11"/>
  <c r="D132" i="11"/>
  <c r="C132" i="11"/>
  <c r="B132" i="11"/>
  <c r="A132" i="11"/>
  <c r="A131" i="11"/>
  <c r="G130" i="11"/>
  <c r="F130" i="11"/>
  <c r="E130" i="11"/>
  <c r="D130" i="11"/>
  <c r="A130" i="11"/>
  <c r="C130" i="11" s="1"/>
  <c r="B129" i="11"/>
  <c r="A129" i="11"/>
  <c r="G128" i="11"/>
  <c r="F128" i="11"/>
  <c r="B128" i="11"/>
  <c r="A128" i="11"/>
  <c r="E128" i="11" s="1"/>
  <c r="D127" i="11"/>
  <c r="C127" i="11"/>
  <c r="B127" i="11"/>
  <c r="A127" i="11"/>
  <c r="A126" i="11"/>
  <c r="G126" i="11" s="1"/>
  <c r="G125" i="11"/>
  <c r="F125" i="11"/>
  <c r="E125" i="11"/>
  <c r="D125" i="11"/>
  <c r="C125" i="11"/>
  <c r="A125" i="11"/>
  <c r="B125" i="11" s="1"/>
  <c r="A124" i="11"/>
  <c r="B124" i="11" s="1"/>
  <c r="G123" i="11"/>
  <c r="F123" i="11"/>
  <c r="E123" i="11"/>
  <c r="A123" i="11"/>
  <c r="D123" i="11" s="1"/>
  <c r="A122" i="11"/>
  <c r="G121" i="11"/>
  <c r="A121" i="11"/>
  <c r="F121" i="11" s="1"/>
  <c r="G120" i="11"/>
  <c r="F120" i="11"/>
  <c r="E120" i="11"/>
  <c r="D120" i="11"/>
  <c r="C120" i="11"/>
  <c r="B120" i="11"/>
  <c r="A120" i="11"/>
  <c r="A119" i="11"/>
  <c r="G118" i="11"/>
  <c r="F118" i="11"/>
  <c r="E118" i="11"/>
  <c r="D118" i="11"/>
  <c r="A118" i="11"/>
  <c r="C118" i="11" s="1"/>
  <c r="A117" i="11"/>
  <c r="C117" i="11" s="1"/>
  <c r="G116" i="11"/>
  <c r="F116" i="11"/>
  <c r="B116" i="11"/>
  <c r="A116" i="11"/>
  <c r="E116" i="11" s="1"/>
  <c r="E115" i="11"/>
  <c r="D115" i="11"/>
  <c r="C115" i="11"/>
  <c r="B115" i="11"/>
  <c r="A115" i="11"/>
  <c r="A114" i="11"/>
  <c r="G114" i="11" s="1"/>
  <c r="G113" i="11"/>
  <c r="F113" i="11"/>
  <c r="E113" i="11"/>
  <c r="D113" i="11"/>
  <c r="C113" i="11"/>
  <c r="A113" i="11"/>
  <c r="B113" i="11" s="1"/>
  <c r="A112" i="11"/>
  <c r="G111" i="11"/>
  <c r="F111" i="11"/>
  <c r="E111" i="11"/>
  <c r="A111" i="11"/>
  <c r="D111" i="11" s="1"/>
  <c r="D110" i="11"/>
  <c r="C110" i="11"/>
  <c r="A110" i="11"/>
  <c r="B110" i="11" s="1"/>
  <c r="G109" i="11"/>
  <c r="A109" i="11"/>
  <c r="F109" i="11" s="1"/>
  <c r="G108" i="11"/>
  <c r="F108" i="11"/>
  <c r="E108" i="11"/>
  <c r="D108" i="11"/>
  <c r="C108" i="11"/>
  <c r="B108" i="11"/>
  <c r="A108" i="11"/>
  <c r="A107" i="11"/>
  <c r="G106" i="11"/>
  <c r="F106" i="11"/>
  <c r="E106" i="11"/>
  <c r="D106" i="11"/>
  <c r="A106" i="11"/>
  <c r="C106" i="11" s="1"/>
  <c r="B105" i="11"/>
  <c r="A105" i="11"/>
  <c r="G104" i="11"/>
  <c r="F104" i="11"/>
  <c r="E104" i="11"/>
  <c r="B104" i="11"/>
  <c r="A104" i="11"/>
  <c r="D104" i="11" s="1"/>
  <c r="D103" i="11"/>
  <c r="A103" i="11"/>
  <c r="A102" i="11"/>
  <c r="G102" i="11" s="1"/>
  <c r="G101" i="11"/>
  <c r="F101" i="11"/>
  <c r="E101" i="11"/>
  <c r="D101" i="11"/>
  <c r="C101" i="11"/>
  <c r="B101" i="11"/>
  <c r="A101" i="11"/>
  <c r="B100" i="11"/>
  <c r="A100" i="11"/>
  <c r="G99" i="11"/>
  <c r="F99" i="11"/>
  <c r="E99" i="11"/>
  <c r="D99" i="11"/>
  <c r="A99" i="11"/>
  <c r="C99" i="11" s="1"/>
  <c r="D98" i="11"/>
  <c r="C98" i="11"/>
  <c r="B98" i="11"/>
  <c r="A98" i="11"/>
  <c r="G97" i="11"/>
  <c r="F97" i="11"/>
  <c r="A97" i="11"/>
  <c r="E97" i="11" s="1"/>
  <c r="F96" i="11"/>
  <c r="E96" i="11"/>
  <c r="D96" i="11"/>
  <c r="C96" i="11"/>
  <c r="B96" i="11"/>
  <c r="A96" i="11"/>
  <c r="G96" i="11" s="1"/>
  <c r="A95" i="11"/>
  <c r="G94" i="11"/>
  <c r="F94" i="11"/>
  <c r="E94" i="11"/>
  <c r="D94" i="11"/>
  <c r="C94" i="11"/>
  <c r="A94" i="11"/>
  <c r="B94" i="11" s="1"/>
  <c r="B93" i="11"/>
  <c r="A93" i="11"/>
  <c r="G92" i="11"/>
  <c r="F92" i="11"/>
  <c r="E92" i="11"/>
  <c r="C92" i="11"/>
  <c r="B92" i="11"/>
  <c r="A92" i="11"/>
  <c r="D92" i="11" s="1"/>
  <c r="A91" i="11"/>
  <c r="G90" i="11"/>
  <c r="A90" i="11"/>
  <c r="F90" i="11" s="1"/>
  <c r="G89" i="11"/>
  <c r="F89" i="11"/>
  <c r="E89" i="11"/>
  <c r="D89" i="11"/>
  <c r="C89" i="11"/>
  <c r="B89" i="11"/>
  <c r="A89" i="11"/>
  <c r="A88" i="11"/>
  <c r="G87" i="11"/>
  <c r="F87" i="11"/>
  <c r="E87" i="11"/>
  <c r="D87" i="11"/>
  <c r="B87" i="11"/>
  <c r="A87" i="11"/>
  <c r="C87" i="11" s="1"/>
  <c r="C86" i="11"/>
  <c r="B86" i="11"/>
  <c r="A86" i="11"/>
  <c r="D86" i="11" s="1"/>
  <c r="G85" i="11"/>
  <c r="F85" i="11"/>
  <c r="D85" i="11"/>
  <c r="A85" i="11"/>
  <c r="E85" i="11" s="1"/>
  <c r="F84" i="11"/>
  <c r="E84" i="11"/>
  <c r="D84" i="11"/>
  <c r="C84" i="11"/>
  <c r="A84" i="11"/>
  <c r="G84" i="11" s="1"/>
  <c r="A83" i="11"/>
  <c r="G82" i="11"/>
  <c r="F82" i="11"/>
  <c r="E82" i="11"/>
  <c r="D82" i="11"/>
  <c r="C82" i="11"/>
  <c r="A82" i="11"/>
  <c r="B82" i="11" s="1"/>
  <c r="A81" i="11"/>
  <c r="C81" i="11" s="1"/>
  <c r="G80" i="11"/>
  <c r="F80" i="11"/>
  <c r="E80" i="11"/>
  <c r="C80" i="11"/>
  <c r="B80" i="11"/>
  <c r="A80" i="11"/>
  <c r="D80" i="11" s="1"/>
  <c r="A79" i="11"/>
  <c r="E79" i="11" s="1"/>
  <c r="G78" i="11"/>
  <c r="A78" i="11"/>
  <c r="F78" i="11" s="1"/>
  <c r="G77" i="11"/>
  <c r="F77" i="11"/>
  <c r="E77" i="11"/>
  <c r="D77" i="11"/>
  <c r="C77" i="11"/>
  <c r="B77" i="11"/>
  <c r="A77" i="11"/>
  <c r="A76" i="11"/>
  <c r="B76" i="11" s="1"/>
  <c r="G75" i="11"/>
  <c r="F75" i="11"/>
  <c r="E75" i="11"/>
  <c r="D75" i="11"/>
  <c r="B75" i="11"/>
  <c r="A75" i="11"/>
  <c r="C75" i="11" s="1"/>
  <c r="B74" i="11"/>
  <c r="A74" i="11"/>
  <c r="G73" i="11"/>
  <c r="F73" i="11"/>
  <c r="D73" i="11"/>
  <c r="C73" i="11"/>
  <c r="A73" i="11"/>
  <c r="E73" i="11" s="1"/>
  <c r="A72" i="11"/>
  <c r="G72" i="11" s="1"/>
  <c r="A71" i="11"/>
  <c r="G70" i="11"/>
  <c r="F70" i="11"/>
  <c r="E70" i="11"/>
  <c r="A70" i="11"/>
  <c r="B70" i="11" s="1"/>
  <c r="A69" i="11"/>
  <c r="G68" i="11"/>
  <c r="F68" i="11"/>
  <c r="E68" i="11"/>
  <c r="C68" i="11"/>
  <c r="B68" i="11"/>
  <c r="A68" i="11"/>
  <c r="D68" i="11" s="1"/>
  <c r="E67" i="11"/>
  <c r="D67" i="11"/>
  <c r="C67" i="11"/>
  <c r="B67" i="11"/>
  <c r="A67" i="11"/>
  <c r="G66" i="11"/>
  <c r="E66" i="11"/>
  <c r="A66" i="11"/>
  <c r="F66" i="11" s="1"/>
  <c r="G65" i="11"/>
  <c r="F65" i="11"/>
  <c r="E65" i="11"/>
  <c r="D65" i="11"/>
  <c r="C65" i="11"/>
  <c r="B65" i="11"/>
  <c r="A65" i="11"/>
  <c r="A64" i="11"/>
  <c r="G63" i="11"/>
  <c r="F63" i="11"/>
  <c r="E63" i="11"/>
  <c r="D63" i="11"/>
  <c r="B63" i="11"/>
  <c r="A63" i="11"/>
  <c r="C63" i="11" s="1"/>
  <c r="C62" i="11"/>
  <c r="B62" i="11"/>
  <c r="A62" i="11"/>
  <c r="D62" i="11" s="1"/>
  <c r="G61" i="11"/>
  <c r="F61" i="11"/>
  <c r="D61" i="11"/>
  <c r="C61" i="11"/>
  <c r="A61" i="11"/>
  <c r="E61" i="11" s="1"/>
  <c r="F60" i="11"/>
  <c r="E60" i="11"/>
  <c r="D60" i="11"/>
  <c r="A60" i="11"/>
  <c r="G60" i="11" s="1"/>
  <c r="F59" i="11"/>
  <c r="A59" i="11"/>
  <c r="A58" i="11"/>
  <c r="B58" i="11" s="1"/>
  <c r="C57" i="11"/>
  <c r="A57" i="11"/>
  <c r="B57" i="11" s="1"/>
  <c r="G56" i="11"/>
  <c r="F56" i="11"/>
  <c r="E56" i="11"/>
  <c r="C56" i="11"/>
  <c r="B56" i="11"/>
  <c r="A56" i="11"/>
  <c r="D56" i="11" s="1"/>
  <c r="E55" i="11"/>
  <c r="D55" i="11"/>
  <c r="C55" i="11"/>
  <c r="B55" i="11"/>
  <c r="A55" i="11"/>
  <c r="G54" i="11"/>
  <c r="E54" i="11"/>
  <c r="A54" i="11"/>
  <c r="F54" i="11" s="1"/>
  <c r="G53" i="11"/>
  <c r="F53" i="11"/>
  <c r="E53" i="11"/>
  <c r="D53" i="11"/>
  <c r="C53" i="11"/>
  <c r="B53" i="11"/>
  <c r="A53" i="11"/>
  <c r="G52" i="11"/>
  <c r="A52" i="11"/>
  <c r="G51" i="11"/>
  <c r="F51" i="11"/>
  <c r="E51" i="11"/>
  <c r="D51" i="11"/>
  <c r="B51" i="11"/>
  <c r="A51" i="11"/>
  <c r="C51" i="11" s="1"/>
  <c r="A50" i="11"/>
  <c r="B50" i="11" s="1"/>
  <c r="G49" i="11"/>
  <c r="F49" i="11"/>
  <c r="D49" i="11"/>
  <c r="C49" i="11"/>
  <c r="A49" i="11"/>
  <c r="E49" i="11" s="1"/>
  <c r="A48" i="11"/>
  <c r="G48" i="11" s="1"/>
  <c r="F47" i="11"/>
  <c r="A47" i="11"/>
  <c r="F46" i="11"/>
  <c r="A46" i="11"/>
  <c r="B46" i="11" s="1"/>
  <c r="A45" i="11"/>
  <c r="C45" i="11" s="1"/>
  <c r="G44" i="11"/>
  <c r="F44" i="11"/>
  <c r="E44" i="11"/>
  <c r="C44" i="11"/>
  <c r="B44" i="11"/>
  <c r="A44" i="11"/>
  <c r="D44" i="11" s="1"/>
  <c r="A43" i="11"/>
  <c r="E43" i="11" s="1"/>
  <c r="G42" i="11"/>
  <c r="E42" i="11"/>
  <c r="A42" i="11"/>
  <c r="F42" i="11" s="1"/>
  <c r="G41" i="11"/>
  <c r="F41" i="11"/>
  <c r="E41" i="11"/>
  <c r="D41" i="11"/>
  <c r="C41" i="11"/>
  <c r="B41" i="11"/>
  <c r="A41" i="11"/>
  <c r="A40" i="11"/>
  <c r="G40" i="11" s="1"/>
  <c r="G39" i="11"/>
  <c r="F39" i="11"/>
  <c r="E39" i="11"/>
  <c r="D39" i="11"/>
  <c r="B39" i="11"/>
  <c r="A39" i="11"/>
  <c r="C39" i="11" s="1"/>
  <c r="A38" i="11"/>
  <c r="G37" i="11"/>
  <c r="F37" i="11"/>
  <c r="D37" i="11"/>
  <c r="C37" i="11"/>
  <c r="A37" i="11"/>
  <c r="E37" i="11" s="1"/>
  <c r="E36" i="11"/>
  <c r="A36" i="11"/>
  <c r="G36" i="11" s="1"/>
  <c r="A35" i="11"/>
  <c r="B35" i="11" s="1"/>
  <c r="G34" i="11"/>
  <c r="F34" i="11"/>
  <c r="D34" i="11"/>
  <c r="C34" i="11"/>
  <c r="A34" i="11"/>
  <c r="B34" i="11" s="1"/>
  <c r="A33" i="11"/>
  <c r="G32" i="11"/>
  <c r="F32" i="11"/>
  <c r="E32" i="11"/>
  <c r="C32" i="11"/>
  <c r="B32" i="11"/>
  <c r="A32" i="11"/>
  <c r="D32" i="11" s="1"/>
  <c r="F31" i="11"/>
  <c r="A31" i="11"/>
  <c r="G31" i="11" s="1"/>
  <c r="A30" i="11"/>
  <c r="E30" i="11" s="1"/>
  <c r="G29" i="11"/>
  <c r="F29" i="11"/>
  <c r="E29" i="11"/>
  <c r="D29" i="11"/>
  <c r="C29" i="11"/>
  <c r="B29" i="11"/>
  <c r="A29" i="11"/>
  <c r="A28" i="11"/>
  <c r="G27" i="11"/>
  <c r="F27" i="11"/>
  <c r="E27" i="11"/>
  <c r="D27" i="11"/>
  <c r="B27" i="11"/>
  <c r="A27" i="11"/>
  <c r="C27" i="11" s="1"/>
  <c r="A26" i="11"/>
  <c r="B26" i="11" s="1"/>
  <c r="G25" i="11"/>
  <c r="F25" i="11"/>
  <c r="D25" i="11"/>
  <c r="C25" i="11"/>
  <c r="A25" i="11"/>
  <c r="E25" i="11" s="1"/>
  <c r="G24" i="11"/>
  <c r="A24" i="11"/>
  <c r="F24" i="11" s="1"/>
  <c r="F23" i="11"/>
  <c r="E23" i="11"/>
  <c r="B23" i="11"/>
  <c r="A23" i="11"/>
  <c r="G22" i="11"/>
  <c r="F22" i="11"/>
  <c r="A22" i="11"/>
  <c r="B22" i="11" s="1"/>
  <c r="A21" i="11"/>
  <c r="G20" i="11"/>
  <c r="F20" i="11"/>
  <c r="E20" i="11"/>
  <c r="C20" i="11"/>
  <c r="B20" i="11"/>
  <c r="A20" i="11"/>
  <c r="D20" i="11" s="1"/>
  <c r="A19" i="11"/>
  <c r="G19" i="11" s="1"/>
  <c r="E18" i="11"/>
  <c r="D18" i="11"/>
  <c r="A18" i="11"/>
  <c r="G18" i="11" s="1"/>
  <c r="G17" i="11"/>
  <c r="F17" i="11"/>
  <c r="E17" i="11"/>
  <c r="D17" i="11"/>
  <c r="C17" i="11"/>
  <c r="B17" i="11"/>
  <c r="A17" i="11"/>
  <c r="G16" i="11"/>
  <c r="C16" i="11"/>
  <c r="B16" i="11"/>
  <c r="A16" i="11"/>
  <c r="F16" i="11" s="1"/>
  <c r="A15" i="11"/>
  <c r="C15" i="11" s="1"/>
  <c r="E14" i="11"/>
  <c r="D14" i="11"/>
  <c r="A14" i="11"/>
  <c r="C14" i="11" s="1"/>
  <c r="G13" i="11"/>
  <c r="F13" i="11"/>
  <c r="D13" i="11"/>
  <c r="C13" i="11"/>
  <c r="A13" i="11"/>
  <c r="E13" i="11" s="1"/>
  <c r="F12" i="11"/>
  <c r="E12" i="11"/>
  <c r="D12" i="11"/>
  <c r="A12" i="11"/>
  <c r="G12" i="11" s="1"/>
  <c r="A11" i="11"/>
  <c r="B11" i="11" s="1"/>
  <c r="G10" i="11"/>
  <c r="F10" i="11"/>
  <c r="E10" i="11"/>
  <c r="D10" i="11"/>
  <c r="C10" i="11"/>
  <c r="A10" i="11"/>
  <c r="B10" i="11" s="1"/>
  <c r="G9" i="11"/>
  <c r="D9" i="11"/>
  <c r="C9" i="11"/>
  <c r="A9" i="11"/>
  <c r="G8" i="11"/>
  <c r="F8" i="11"/>
  <c r="E8" i="11"/>
  <c r="C8" i="11"/>
  <c r="B8" i="11"/>
  <c r="A8" i="11"/>
  <c r="D8" i="11" s="1"/>
  <c r="F7" i="11"/>
  <c r="E7" i="11"/>
  <c r="D7" i="11"/>
  <c r="C7" i="11"/>
  <c r="A7" i="11"/>
  <c r="G7" i="11" s="1"/>
  <c r="A6" i="11"/>
  <c r="G5" i="11"/>
  <c r="F5" i="11"/>
  <c r="E5" i="11"/>
  <c r="D5" i="11"/>
  <c r="C5" i="11"/>
  <c r="B5" i="11"/>
  <c r="A5" i="11"/>
  <c r="A4" i="11"/>
  <c r="G3" i="11"/>
  <c r="F3" i="11"/>
  <c r="D3" i="11"/>
  <c r="B3" i="11"/>
  <c r="A3" i="11"/>
  <c r="C3" i="11" s="1"/>
  <c r="A2" i="11"/>
  <c r="A1" i="11"/>
  <c r="G107" i="11" l="1"/>
  <c r="F107" i="11"/>
  <c r="E107" i="11"/>
  <c r="D107" i="11"/>
  <c r="C107" i="11"/>
  <c r="B107" i="11"/>
  <c r="F28" i="11"/>
  <c r="E28" i="11"/>
  <c r="D28" i="11"/>
  <c r="B12" i="11"/>
  <c r="B14" i="11"/>
  <c r="F52" i="11"/>
  <c r="E52" i="11"/>
  <c r="D52" i="11"/>
  <c r="C52" i="11"/>
  <c r="C70" i="11"/>
  <c r="F72" i="11"/>
  <c r="E3" i="11"/>
  <c r="C12" i="11"/>
  <c r="G23" i="11"/>
  <c r="D23" i="11"/>
  <c r="C23" i="11"/>
  <c r="E34" i="11"/>
  <c r="G47" i="11"/>
  <c r="E47" i="11"/>
  <c r="D47" i="11"/>
  <c r="C47" i="11"/>
  <c r="B47" i="11"/>
  <c r="B52" i="11"/>
  <c r="G55" i="11"/>
  <c r="F55" i="11"/>
  <c r="C60" i="11"/>
  <c r="D70" i="11"/>
  <c r="B84" i="11"/>
  <c r="G98" i="11"/>
  <c r="F98" i="11"/>
  <c r="E98" i="11"/>
  <c r="G127" i="11"/>
  <c r="F127" i="11"/>
  <c r="E4" i="11"/>
  <c r="D4" i="11"/>
  <c r="B40" i="11"/>
  <c r="B45" i="11"/>
  <c r="D50" i="11"/>
  <c r="G71" i="11"/>
  <c r="E71" i="11"/>
  <c r="D71" i="11"/>
  <c r="C71" i="11"/>
  <c r="B71" i="11"/>
  <c r="C79" i="11"/>
  <c r="G115" i="11"/>
  <c r="F115" i="11"/>
  <c r="E127" i="11"/>
  <c r="B134" i="11"/>
  <c r="F21" i="11"/>
  <c r="E21" i="11"/>
  <c r="G117" i="11"/>
  <c r="F117" i="11"/>
  <c r="E117" i="11"/>
  <c r="D117" i="11"/>
  <c r="F6" i="11"/>
  <c r="C6" i="11"/>
  <c r="B6" i="11"/>
  <c r="G35" i="11"/>
  <c r="E35" i="11"/>
  <c r="D35" i="11"/>
  <c r="C35" i="11"/>
  <c r="B79" i="11"/>
  <c r="G141" i="11"/>
  <c r="F141" i="11"/>
  <c r="E141" i="11"/>
  <c r="D141" i="11"/>
  <c r="B141" i="11"/>
  <c r="G2" i="11"/>
  <c r="F2" i="11"/>
  <c r="D6" i="11"/>
  <c r="B15" i="11"/>
  <c r="D58" i="11"/>
  <c r="B2" i="11"/>
  <c r="C4" i="11"/>
  <c r="E6" i="11"/>
  <c r="D15" i="11"/>
  <c r="E19" i="11"/>
  <c r="B24" i="11"/>
  <c r="G33" i="11"/>
  <c r="F33" i="11"/>
  <c r="E33" i="11"/>
  <c r="F35" i="11"/>
  <c r="G38" i="11"/>
  <c r="F38" i="11"/>
  <c r="E38" i="11"/>
  <c r="B43" i="11"/>
  <c r="D48" i="11"/>
  <c r="E58" i="11"/>
  <c r="F71" i="11"/>
  <c r="G74" i="11"/>
  <c r="E74" i="11"/>
  <c r="F74" i="11"/>
  <c r="D79" i="11"/>
  <c r="G93" i="11"/>
  <c r="F93" i="11"/>
  <c r="E93" i="11"/>
  <c r="D93" i="11"/>
  <c r="G105" i="11"/>
  <c r="F105" i="11"/>
  <c r="E105" i="11"/>
  <c r="D105" i="11"/>
  <c r="G131" i="11"/>
  <c r="F131" i="11"/>
  <c r="E131" i="11"/>
  <c r="D131" i="11"/>
  <c r="C131" i="11"/>
  <c r="B131" i="11"/>
  <c r="G81" i="11"/>
  <c r="F81" i="11"/>
  <c r="E81" i="11"/>
  <c r="D81" i="11"/>
  <c r="G95" i="11"/>
  <c r="F95" i="11"/>
  <c r="E95" i="11"/>
  <c r="D95" i="11"/>
  <c r="C95" i="11"/>
  <c r="B95" i="11"/>
  <c r="B4" i="11"/>
  <c r="F4" i="11"/>
  <c r="F19" i="11"/>
  <c r="G28" i="11"/>
  <c r="B31" i="11"/>
  <c r="B38" i="11"/>
  <c r="C43" i="11"/>
  <c r="F30" i="11"/>
  <c r="D30" i="11"/>
  <c r="C30" i="11"/>
  <c r="B30" i="11"/>
  <c r="C21" i="11"/>
  <c r="G26" i="11"/>
  <c r="F26" i="11"/>
  <c r="G30" i="11"/>
  <c r="G21" i="11"/>
  <c r="F58" i="11"/>
  <c r="G91" i="11"/>
  <c r="F91" i="11"/>
  <c r="F9" i="11"/>
  <c r="E9" i="11"/>
  <c r="F15" i="11"/>
  <c r="C22" i="11"/>
  <c r="D43" i="11"/>
  <c r="C46" i="11"/>
  <c r="F48" i="11"/>
  <c r="F64" i="11"/>
  <c r="E64" i="11"/>
  <c r="D64" i="11"/>
  <c r="C64" i="11"/>
  <c r="G69" i="11"/>
  <c r="F69" i="11"/>
  <c r="D69" i="11"/>
  <c r="E69" i="11"/>
  <c r="B72" i="11"/>
  <c r="C74" i="11"/>
  <c r="G88" i="11"/>
  <c r="F88" i="11"/>
  <c r="E88" i="11"/>
  <c r="D88" i="11"/>
  <c r="C88" i="11"/>
  <c r="B91" i="11"/>
  <c r="C93" i="11"/>
  <c r="G103" i="11"/>
  <c r="F103" i="11"/>
  <c r="C105" i="11"/>
  <c r="G112" i="11"/>
  <c r="F112" i="11"/>
  <c r="E112" i="11"/>
  <c r="D112" i="11"/>
  <c r="C112" i="11"/>
  <c r="G122" i="11"/>
  <c r="F122" i="11"/>
  <c r="E122" i="11"/>
  <c r="G139" i="11"/>
  <c r="F139" i="11"/>
  <c r="D139" i="11"/>
  <c r="G50" i="11"/>
  <c r="F50" i="11"/>
  <c r="E50" i="11"/>
  <c r="B21" i="11"/>
  <c r="F79" i="11"/>
  <c r="G79" i="11"/>
  <c r="B117" i="11"/>
  <c r="C19" i="11"/>
  <c r="F40" i="11"/>
  <c r="E40" i="11"/>
  <c r="D40" i="11"/>
  <c r="C40" i="11"/>
  <c r="G45" i="11"/>
  <c r="F45" i="11"/>
  <c r="E45" i="11"/>
  <c r="D45" i="11"/>
  <c r="C50" i="11"/>
  <c r="G124" i="11"/>
  <c r="F124" i="11"/>
  <c r="E124" i="11"/>
  <c r="D124" i="11"/>
  <c r="C124" i="11"/>
  <c r="G134" i="11"/>
  <c r="F134" i="11"/>
  <c r="E134" i="11"/>
  <c r="C134" i="11"/>
  <c r="D19" i="11"/>
  <c r="D21" i="11"/>
  <c r="B28" i="11"/>
  <c r="C48" i="11"/>
  <c r="C28" i="11"/>
  <c r="C2" i="11"/>
  <c r="G6" i="11"/>
  <c r="G11" i="11"/>
  <c r="D11" i="11"/>
  <c r="C11" i="11"/>
  <c r="E15" i="11"/>
  <c r="C24" i="11"/>
  <c r="C26" i="11"/>
  <c r="B33" i="11"/>
  <c r="E48" i="11"/>
  <c r="D2" i="11"/>
  <c r="G4" i="11"/>
  <c r="D24" i="11"/>
  <c r="D26" i="11"/>
  <c r="C31" i="11"/>
  <c r="C33" i="11"/>
  <c r="B36" i="11"/>
  <c r="C38" i="11"/>
  <c r="G58" i="11"/>
  <c r="E2" i="11"/>
  <c r="B7" i="11"/>
  <c r="B9" i="11"/>
  <c r="E11" i="11"/>
  <c r="G15" i="11"/>
  <c r="D22" i="11"/>
  <c r="E24" i="11"/>
  <c r="E26" i="11"/>
  <c r="D31" i="11"/>
  <c r="D33" i="11"/>
  <c r="C36" i="11"/>
  <c r="D38" i="11"/>
  <c r="D46" i="11"/>
  <c r="G59" i="11"/>
  <c r="E59" i="11"/>
  <c r="D59" i="11"/>
  <c r="C59" i="11"/>
  <c r="B59" i="11"/>
  <c r="B64" i="11"/>
  <c r="F67" i="11"/>
  <c r="G67" i="11"/>
  <c r="B69" i="11"/>
  <c r="C72" i="11"/>
  <c r="D74" i="11"/>
  <c r="B88" i="11"/>
  <c r="C91" i="11"/>
  <c r="B103" i="11"/>
  <c r="B112" i="11"/>
  <c r="B122" i="11"/>
  <c r="B139" i="11"/>
  <c r="G146" i="11"/>
  <c r="F146" i="11"/>
  <c r="E146" i="11"/>
  <c r="D146" i="11"/>
  <c r="C146" i="11"/>
  <c r="B19" i="11"/>
  <c r="G76" i="11"/>
  <c r="F76" i="11"/>
  <c r="E76" i="11"/>
  <c r="D76" i="11"/>
  <c r="C76" i="11"/>
  <c r="G43" i="11"/>
  <c r="F43" i="11"/>
  <c r="F11" i="11"/>
  <c r="E16" i="11"/>
  <c r="D16" i="11"/>
  <c r="F18" i="11"/>
  <c r="C18" i="11"/>
  <c r="B18" i="11"/>
  <c r="E22" i="11"/>
  <c r="E31" i="11"/>
  <c r="D36" i="11"/>
  <c r="E46" i="11"/>
  <c r="G62" i="11"/>
  <c r="F62" i="11"/>
  <c r="E62" i="11"/>
  <c r="G64" i="11"/>
  <c r="C69" i="11"/>
  <c r="D72" i="11"/>
  <c r="G86" i="11"/>
  <c r="F86" i="11"/>
  <c r="E86" i="11"/>
  <c r="D91" i="11"/>
  <c r="G100" i="11"/>
  <c r="F100" i="11"/>
  <c r="E100" i="11"/>
  <c r="D100" i="11"/>
  <c r="C100" i="11"/>
  <c r="C103" i="11"/>
  <c r="G119" i="11"/>
  <c r="F119" i="11"/>
  <c r="E119" i="11"/>
  <c r="D119" i="11"/>
  <c r="C119" i="11"/>
  <c r="B119" i="11"/>
  <c r="C122" i="11"/>
  <c r="G129" i="11"/>
  <c r="F129" i="11"/>
  <c r="E129" i="11"/>
  <c r="D129" i="11"/>
  <c r="C139" i="11"/>
  <c r="B48" i="11"/>
  <c r="C58" i="11"/>
  <c r="G14" i="11"/>
  <c r="F14" i="11"/>
  <c r="E72" i="11"/>
  <c r="G83" i="11"/>
  <c r="F83" i="11"/>
  <c r="E83" i="11"/>
  <c r="D83" i="11"/>
  <c r="C83" i="11"/>
  <c r="B83" i="11"/>
  <c r="E91" i="11"/>
  <c r="D122" i="11"/>
  <c r="E139" i="11"/>
  <c r="G143" i="11"/>
  <c r="F143" i="11"/>
  <c r="E143" i="11"/>
  <c r="D143" i="11"/>
  <c r="C143" i="11"/>
  <c r="B143" i="11"/>
  <c r="B81" i="11"/>
  <c r="F36" i="11"/>
  <c r="G46" i="11"/>
  <c r="G57" i="11"/>
  <c r="F57" i="11"/>
  <c r="E57" i="11"/>
  <c r="D57" i="11"/>
  <c r="B60" i="11"/>
  <c r="E103" i="11"/>
  <c r="G110" i="11"/>
  <c r="F110" i="11"/>
  <c r="E110" i="11"/>
  <c r="C129" i="11"/>
  <c r="C136" i="11"/>
  <c r="C148" i="11"/>
  <c r="B42" i="11"/>
  <c r="B54" i="11"/>
  <c r="B66" i="11"/>
  <c r="B78" i="11"/>
  <c r="B90" i="11"/>
  <c r="B102" i="11"/>
  <c r="B114" i="11"/>
  <c r="B126" i="11"/>
  <c r="D136" i="11"/>
  <c r="B138" i="11"/>
  <c r="D148" i="11"/>
  <c r="B13" i="11"/>
  <c r="B25" i="11"/>
  <c r="B37" i="11"/>
  <c r="C42" i="11"/>
  <c r="B49" i="11"/>
  <c r="C54" i="11"/>
  <c r="B61" i="11"/>
  <c r="C66" i="11"/>
  <c r="B73" i="11"/>
  <c r="C78" i="11"/>
  <c r="B85" i="11"/>
  <c r="C90" i="11"/>
  <c r="B97" i="11"/>
  <c r="C102" i="11"/>
  <c r="B109" i="11"/>
  <c r="C114" i="11"/>
  <c r="B121" i="11"/>
  <c r="C126" i="11"/>
  <c r="B133" i="11"/>
  <c r="E136" i="11"/>
  <c r="C138" i="11"/>
  <c r="B145" i="11"/>
  <c r="E148" i="11"/>
  <c r="C150" i="11"/>
  <c r="D42" i="11"/>
  <c r="D54" i="11"/>
  <c r="D66" i="11"/>
  <c r="D78" i="11"/>
  <c r="C85" i="11"/>
  <c r="D90" i="11"/>
  <c r="C97" i="11"/>
  <c r="D102" i="11"/>
  <c r="C109" i="11"/>
  <c r="D114" i="11"/>
  <c r="C121" i="11"/>
  <c r="D126" i="11"/>
  <c r="C133" i="11"/>
  <c r="F136" i="11"/>
  <c r="D138" i="11"/>
  <c r="C145" i="11"/>
  <c r="F148" i="11"/>
  <c r="D150" i="11"/>
  <c r="E90" i="11"/>
  <c r="D97" i="11"/>
  <c r="B99" i="11"/>
  <c r="E102" i="11"/>
  <c r="C104" i="11"/>
  <c r="D109" i="11"/>
  <c r="B111" i="11"/>
  <c r="E114" i="11"/>
  <c r="C116" i="11"/>
  <c r="D121" i="11"/>
  <c r="B123" i="11"/>
  <c r="E126" i="11"/>
  <c r="C128" i="11"/>
  <c r="D133" i="11"/>
  <c r="B135" i="11"/>
  <c r="E138" i="11"/>
  <c r="C140" i="11"/>
  <c r="D145" i="11"/>
  <c r="B147" i="11"/>
  <c r="E150" i="11"/>
  <c r="E78" i="11"/>
  <c r="F102" i="11"/>
  <c r="B106" i="11"/>
  <c r="E109" i="11"/>
  <c r="C111" i="11"/>
  <c r="F114" i="11"/>
  <c r="D116" i="11"/>
  <c r="B118" i="11"/>
  <c r="E121" i="11"/>
  <c r="C123" i="11"/>
  <c r="F126" i="11"/>
  <c r="D128" i="11"/>
  <c r="B130" i="11"/>
  <c r="E133" i="11"/>
  <c r="C135" i="11"/>
  <c r="F138" i="11"/>
  <c r="D140" i="11"/>
  <c r="B142" i="11"/>
  <c r="E145" i="11"/>
  <c r="C147" i="11"/>
  <c r="F150" i="11"/>
</calcChain>
</file>

<file path=xl/sharedStrings.xml><?xml version="1.0" encoding="utf-8"?>
<sst xmlns="http://schemas.openxmlformats.org/spreadsheetml/2006/main" count="2729" uniqueCount="447">
  <si>
    <t>Order ID</t>
  </si>
  <si>
    <t>Order Date</t>
  </si>
  <si>
    <t>Customer Name</t>
  </si>
  <si>
    <t>Country</t>
  </si>
  <si>
    <t>State</t>
  </si>
  <si>
    <t>City</t>
  </si>
  <si>
    <t>Region</t>
  </si>
  <si>
    <t>Sales</t>
  </si>
  <si>
    <t>Profit</t>
  </si>
  <si>
    <t>KL-2018-5607031</t>
  </si>
  <si>
    <t>Lani Bowers</t>
  </si>
  <si>
    <t>Austria</t>
  </si>
  <si>
    <t>Vienna</t>
  </si>
  <si>
    <t>Central</t>
  </si>
  <si>
    <t>KL-2018-5607032</t>
  </si>
  <si>
    <t>Lana Adkins</t>
  </si>
  <si>
    <t>KL-2018-5607033</t>
  </si>
  <si>
    <t>Sopoline Noel</t>
  </si>
  <si>
    <t>KL-2018-5607034</t>
  </si>
  <si>
    <t>Abbot Horton</t>
  </si>
  <si>
    <t>Germany</t>
  </si>
  <si>
    <t>Lower Saxony</t>
  </si>
  <si>
    <t>Langen</t>
  </si>
  <si>
    <t>KL-2018-5607035</t>
  </si>
  <si>
    <t>Hedda Livingston</t>
  </si>
  <si>
    <t>KL-2018-5607036</t>
  </si>
  <si>
    <t>Henry Hodges</t>
  </si>
  <si>
    <t>KL-2018-5607037</t>
  </si>
  <si>
    <t>Aristotle Barrett</t>
  </si>
  <si>
    <t>KL-2018-5607038</t>
  </si>
  <si>
    <t>Wendy Neal</t>
  </si>
  <si>
    <t>KL-2018-5607039</t>
  </si>
  <si>
    <t>Raymond Mckenzie</t>
  </si>
  <si>
    <t>Denmark</t>
  </si>
  <si>
    <t>Hovedstaden</t>
  </si>
  <si>
    <t>Copenhagen</t>
  </si>
  <si>
    <t>North</t>
  </si>
  <si>
    <t>KL-2018-5607040</t>
  </si>
  <si>
    <t>Zephr Hickman</t>
  </si>
  <si>
    <t>Spain</t>
  </si>
  <si>
    <t>Valenciana</t>
  </si>
  <si>
    <t>Gandia</t>
  </si>
  <si>
    <t>South</t>
  </si>
  <si>
    <t>KL-2018-5607041</t>
  </si>
  <si>
    <t>Georgia Kane</t>
  </si>
  <si>
    <t>South Denmark</t>
  </si>
  <si>
    <t>Esbjerg</t>
  </si>
  <si>
    <t>KL-2018-5607042</t>
  </si>
  <si>
    <t>Stella Dejesus</t>
  </si>
  <si>
    <t>India</t>
  </si>
  <si>
    <t>Maharashtra</t>
  </si>
  <si>
    <t>Mumbai</t>
  </si>
  <si>
    <t>KL-2018-5607043</t>
  </si>
  <si>
    <t>Dahlia Porter</t>
  </si>
  <si>
    <t>Bihar</t>
  </si>
  <si>
    <t>Patna</t>
  </si>
  <si>
    <t>KL-2018-5607044</t>
  </si>
  <si>
    <t>Ria Foster</t>
  </si>
  <si>
    <t>KL-2018-5607045</t>
  </si>
  <si>
    <t>Kiona Moore</t>
  </si>
  <si>
    <t>France</t>
  </si>
  <si>
    <t>Ile-de-France</t>
  </si>
  <si>
    <t>Villiers-sur-Marne</t>
  </si>
  <si>
    <t>KL-2018-5607046</t>
  </si>
  <si>
    <t>Guinevere Sullivan</t>
  </si>
  <si>
    <t>North Rhine-Westphalia</t>
  </si>
  <si>
    <t>Bielefeld</t>
  </si>
  <si>
    <t>KL-2018-5607047</t>
  </si>
  <si>
    <t>Ingrid Barnes</t>
  </si>
  <si>
    <t>Belgium</t>
  </si>
  <si>
    <t>Flemish Brabant</t>
  </si>
  <si>
    <t>Leuven</t>
  </si>
  <si>
    <t>KL-2018-5607048</t>
  </si>
  <si>
    <t>Quinlan Holcomb</t>
  </si>
  <si>
    <t>KL-2018-5607049</t>
  </si>
  <si>
    <t>Blair Mccullough</t>
  </si>
  <si>
    <t>Pune</t>
  </si>
  <si>
    <t>KL-2018-5607050</t>
  </si>
  <si>
    <t>Diana Guthrie</t>
  </si>
  <si>
    <t>KL-2018-5607051</t>
  </si>
  <si>
    <t>Neville Ashley</t>
  </si>
  <si>
    <t>Row Labels</t>
  </si>
  <si>
    <t>(blank)</t>
  </si>
  <si>
    <t>Grand Total</t>
  </si>
  <si>
    <t>Sum of Sales</t>
  </si>
  <si>
    <t>Column Labels</t>
  </si>
  <si>
    <t>no. of customer</t>
  </si>
  <si>
    <t>total sales</t>
  </si>
  <si>
    <t>total profit</t>
  </si>
  <si>
    <t>KL-2018-5607052</t>
  </si>
  <si>
    <t>KL-2018-5607053</t>
  </si>
  <si>
    <t>KL-2018-5607054</t>
  </si>
  <si>
    <t>KL-2018-5607055</t>
  </si>
  <si>
    <t>KL-2018-5607056</t>
  </si>
  <si>
    <t>KL-2018-5607057</t>
  </si>
  <si>
    <t>KL-2018-5607058</t>
  </si>
  <si>
    <t>KL-2018-5607059</t>
  </si>
  <si>
    <t>KL-2018-5607060</t>
  </si>
  <si>
    <t>KL-2018-5607061</t>
  </si>
  <si>
    <t>KL-2018-5607062</t>
  </si>
  <si>
    <t>KL-2018-5607063</t>
  </si>
  <si>
    <t>KL-2018-5607064</t>
  </si>
  <si>
    <t>KL-2018-5607065</t>
  </si>
  <si>
    <t>KL-2018-5607066</t>
  </si>
  <si>
    <t>KL-2018-5607067</t>
  </si>
  <si>
    <t>KL-2018-5607068</t>
  </si>
  <si>
    <t>KL-2018-5607069</t>
  </si>
  <si>
    <t>KL-2018-5607070</t>
  </si>
  <si>
    <t>KL-2018-5607071</t>
  </si>
  <si>
    <t>KL-2018-5607072</t>
  </si>
  <si>
    <t>KL-2018-5607073</t>
  </si>
  <si>
    <t>KL-2018-5607074</t>
  </si>
  <si>
    <t>KL-2018-5607075</t>
  </si>
  <si>
    <t>KL-2018-5607076</t>
  </si>
  <si>
    <t>KL-2018-5607077</t>
  </si>
  <si>
    <t>KL-2018-5607078</t>
  </si>
  <si>
    <t>KL-2018-5607079</t>
  </si>
  <si>
    <t>KL-2018-5607080</t>
  </si>
  <si>
    <t>KL-2018-5607081</t>
  </si>
  <si>
    <t>KL-2018-5607082</t>
  </si>
  <si>
    <t>KL-2018-5607083</t>
  </si>
  <si>
    <t>KL-2018-5607084</t>
  </si>
  <si>
    <t>KL-2018-5607085</t>
  </si>
  <si>
    <t>KL-2018-5607086</t>
  </si>
  <si>
    <t>KL-2018-5607087</t>
  </si>
  <si>
    <t>KL-2018-5607088</t>
  </si>
  <si>
    <t>KL-2018-5607089</t>
  </si>
  <si>
    <t>KL-2018-5607090</t>
  </si>
  <si>
    <t>KL-2018-5607091</t>
  </si>
  <si>
    <t>KL-2018-5607092</t>
  </si>
  <si>
    <t>KL-2018-5607093</t>
  </si>
  <si>
    <t>KL-2018-5607094</t>
  </si>
  <si>
    <t>KL-2018-5607095</t>
  </si>
  <si>
    <t>KL-2018-5607096</t>
  </si>
  <si>
    <t>KL-2018-5607097</t>
  </si>
  <si>
    <t>KL-2018-5607098</t>
  </si>
  <si>
    <t>KL-2018-5607099</t>
  </si>
  <si>
    <t>KL-2018-5607100</t>
  </si>
  <si>
    <t>KL-2018-5607101</t>
  </si>
  <si>
    <t>KL-2018-5607102</t>
  </si>
  <si>
    <t>KL-2018-5607103</t>
  </si>
  <si>
    <t>KL-2018-5607104</t>
  </si>
  <si>
    <t>KL-2018-5607105</t>
  </si>
  <si>
    <t>KL-2018-5607106</t>
  </si>
  <si>
    <t>KL-2018-5607107</t>
  </si>
  <si>
    <t>KL-2018-5607108</t>
  </si>
  <si>
    <t>KL-2018-5607109</t>
  </si>
  <si>
    <t>KL-2018-5607110</t>
  </si>
  <si>
    <t>KL-2018-5607111</t>
  </si>
  <si>
    <t>KL-2018-5607112</t>
  </si>
  <si>
    <t>KL-2018-5607113</t>
  </si>
  <si>
    <t>KL-2018-5607114</t>
  </si>
  <si>
    <t>KL-2018-5607115</t>
  </si>
  <si>
    <t>KL-2018-5607116</t>
  </si>
  <si>
    <t>KL-2018-5607117</t>
  </si>
  <si>
    <t>KL-2018-5607118</t>
  </si>
  <si>
    <t>KL-2018-5607119</t>
  </si>
  <si>
    <t>KL-2018-5607120</t>
  </si>
  <si>
    <t>KL-2018-5607121</t>
  </si>
  <si>
    <t>KL-2018-5607122</t>
  </si>
  <si>
    <t>KL-2018-5607123</t>
  </si>
  <si>
    <t>KL-2018-5607124</t>
  </si>
  <si>
    <t>KL-2018-5607125</t>
  </si>
  <si>
    <t>KL-2018-5607126</t>
  </si>
  <si>
    <t>KL-2018-5607127</t>
  </si>
  <si>
    <t>KL-2018-5607128</t>
  </si>
  <si>
    <t>KL-2018-5607129</t>
  </si>
  <si>
    <t>KL-2018-5607130</t>
  </si>
  <si>
    <t>KL-2018-5607131</t>
  </si>
  <si>
    <t>KL-2018-5607132</t>
  </si>
  <si>
    <t>KL-2018-5607133</t>
  </si>
  <si>
    <t>KL-2018-5607134</t>
  </si>
  <si>
    <t>KL-2018-5607135</t>
  </si>
  <si>
    <t>KL-2018-5607136</t>
  </si>
  <si>
    <t>KL-2018-5607137</t>
  </si>
  <si>
    <t>KL-2018-5607138</t>
  </si>
  <si>
    <t>KL-2018-5607139</t>
  </si>
  <si>
    <t>KL-2018-5607140</t>
  </si>
  <si>
    <t>KL-2018-5607141</t>
  </si>
  <si>
    <t>KL-2018-5607142</t>
  </si>
  <si>
    <t>KL-2018-5607143</t>
  </si>
  <si>
    <t>KL-2018-5607144</t>
  </si>
  <si>
    <t>KL-2018-5607145</t>
  </si>
  <si>
    <t>KL-2018-5607146</t>
  </si>
  <si>
    <t>KL-2018-5607147</t>
  </si>
  <si>
    <t>KL-2018-5607148</t>
  </si>
  <si>
    <t>KL-2018-5607149</t>
  </si>
  <si>
    <t>KL-2018-5607150</t>
  </si>
  <si>
    <t>KL-2018-5607151</t>
  </si>
  <si>
    <t>KL-2018-5607152</t>
  </si>
  <si>
    <t>KL-2018-5607153</t>
  </si>
  <si>
    <t>KL-2018-5607154</t>
  </si>
  <si>
    <t>KL-2018-5607155</t>
  </si>
  <si>
    <t>KL-2018-5607156</t>
  </si>
  <si>
    <t>KL-2018-5607157</t>
  </si>
  <si>
    <t>KL-2018-5607158</t>
  </si>
  <si>
    <t>KL-2018-5607159</t>
  </si>
  <si>
    <t>KL-2018-5607160</t>
  </si>
  <si>
    <t>KL-2018-5607161</t>
  </si>
  <si>
    <t>KL-2018-5607162</t>
  </si>
  <si>
    <t>KL-2018-5607163</t>
  </si>
  <si>
    <t>KL-2018-5607164</t>
  </si>
  <si>
    <t>KL-2018-5607165</t>
  </si>
  <si>
    <t>KL-2018-5607166</t>
  </si>
  <si>
    <t>KL-2018-5607167</t>
  </si>
  <si>
    <t>KL-2018-5607168</t>
  </si>
  <si>
    <t>KL-2018-5607169</t>
  </si>
  <si>
    <t>KL-2018-5607170</t>
  </si>
  <si>
    <t>KL-2018-5607171</t>
  </si>
  <si>
    <t>KL-2018-5607172</t>
  </si>
  <si>
    <t>KL-2018-5607173</t>
  </si>
  <si>
    <t>KL-2018-5607174</t>
  </si>
  <si>
    <t>KL-2018-5607175</t>
  </si>
  <si>
    <t>KL-2018-5607176</t>
  </si>
  <si>
    <t>KL-2018-5607177</t>
  </si>
  <si>
    <t>KL-2018-5607178</t>
  </si>
  <si>
    <t>KL-2018-5607179</t>
  </si>
  <si>
    <t>KL-2018-5607180</t>
  </si>
  <si>
    <t>KL-2018-5607181</t>
  </si>
  <si>
    <t>KL-2018-5607182</t>
  </si>
  <si>
    <t>KL-2018-5607183</t>
  </si>
  <si>
    <t>KL-2018-5607184</t>
  </si>
  <si>
    <t>KL-2018-5607185</t>
  </si>
  <si>
    <t>KL-2018-5607186</t>
  </si>
  <si>
    <t>KL-2018-5607187</t>
  </si>
  <si>
    <t>KL-2018-5607188</t>
  </si>
  <si>
    <t>KL-2018-5607189</t>
  </si>
  <si>
    <t>KL-2018-5607190</t>
  </si>
  <si>
    <t>KL-2018-5607191</t>
  </si>
  <si>
    <t>KL-2018-5607192</t>
  </si>
  <si>
    <t>KL-2018-5607193</t>
  </si>
  <si>
    <t>KL-2018-5607194</t>
  </si>
  <si>
    <t>KL-2018-5607195</t>
  </si>
  <si>
    <t>KL-2018-5607196</t>
  </si>
  <si>
    <t>KL-2018-5607197</t>
  </si>
  <si>
    <t>KL-2018-5607198</t>
  </si>
  <si>
    <t>KL-2018-5607199</t>
  </si>
  <si>
    <t>KL-2018-5607200</t>
  </si>
  <si>
    <t>KL-2018-5607201</t>
  </si>
  <si>
    <t>KL-2018-5607202</t>
  </si>
  <si>
    <t>KL-2018-5607203</t>
  </si>
  <si>
    <t>KL-2018-5607204</t>
  </si>
  <si>
    <t>KL-2018-5607205</t>
  </si>
  <si>
    <t>KL-2018-5607206</t>
  </si>
  <si>
    <t>KL-2018-5607207</t>
  </si>
  <si>
    <t>KL-2018-5607208</t>
  </si>
  <si>
    <t>KL-2018-5607209</t>
  </si>
  <si>
    <t>KL-2018-5607210</t>
  </si>
  <si>
    <t>KL-2018-5607211</t>
  </si>
  <si>
    <t>KL-2018-5607212</t>
  </si>
  <si>
    <t>KL-2018-5607213</t>
  </si>
  <si>
    <t>KL-2018-5607214</t>
  </si>
  <si>
    <t>KL-2018-5607215</t>
  </si>
  <si>
    <t>KL-2018-5607216</t>
  </si>
  <si>
    <t>KL-2018-5607217</t>
  </si>
  <si>
    <t>KL-2018-5607218</t>
  </si>
  <si>
    <t>KL-2018-5607219</t>
  </si>
  <si>
    <t>KL-2018-5607220</t>
  </si>
  <si>
    <t>KL-2018-5607221</t>
  </si>
  <si>
    <t>KL-2018-5607222</t>
  </si>
  <si>
    <t>KL-2018-5607223</t>
  </si>
  <si>
    <t>KL-2018-5607224</t>
  </si>
  <si>
    <t>KL-2018-5607225</t>
  </si>
  <si>
    <t>KL-2018-5607226</t>
  </si>
  <si>
    <t>KL-2018-5607227</t>
  </si>
  <si>
    <t>KL-2018-5607228</t>
  </si>
  <si>
    <t>KL-2018-5607229</t>
  </si>
  <si>
    <t>KL-2018-5607230</t>
  </si>
  <si>
    <t>KL-2018-5607231</t>
  </si>
  <si>
    <t>KL-2018-5607232</t>
  </si>
  <si>
    <t>KL-2018-5607233</t>
  </si>
  <si>
    <t>KL-2018-5607234</t>
  </si>
  <si>
    <t>KL-2018-5607235</t>
  </si>
  <si>
    <t>KL-2018-5607236</t>
  </si>
  <si>
    <t>KL-2018-5607237</t>
  </si>
  <si>
    <t>KL-2018-5607238</t>
  </si>
  <si>
    <t>KL-2018-5607239</t>
  </si>
  <si>
    <t>KL-2018-5607240</t>
  </si>
  <si>
    <t>KL-2018-5607241</t>
  </si>
  <si>
    <t>KL-2018-5607242</t>
  </si>
  <si>
    <t>KL-2018-5607243</t>
  </si>
  <si>
    <t>KL-2018-5607244</t>
  </si>
  <si>
    <t>KL-2018-5607245</t>
  </si>
  <si>
    <t>KL-2018-5607246</t>
  </si>
  <si>
    <t>KL-2018-5607247</t>
  </si>
  <si>
    <t>KL-2018-5607248</t>
  </si>
  <si>
    <t>KL-2018-5607249</t>
  </si>
  <si>
    <t>KL-2018-5607250</t>
  </si>
  <si>
    <t>KL-2018-5607251</t>
  </si>
  <si>
    <t>KL-2018-5607252</t>
  </si>
  <si>
    <t>KL-2018-5607253</t>
  </si>
  <si>
    <t>KL-2018-5607254</t>
  </si>
  <si>
    <t>KL-2018-5607255</t>
  </si>
  <si>
    <t>KL-2018-5607256</t>
  </si>
  <si>
    <t>KL-2018-5607257</t>
  </si>
  <si>
    <t>KL-2018-5607258</t>
  </si>
  <si>
    <t>KL-2018-5607259</t>
  </si>
  <si>
    <t>KL-2018-5607260</t>
  </si>
  <si>
    <t>KL-2018-5607261</t>
  </si>
  <si>
    <t>KL-2018-5607262</t>
  </si>
  <si>
    <t>KL-2018-5607263</t>
  </si>
  <si>
    <t>KL-2018-5607264</t>
  </si>
  <si>
    <t>KL-2018-5607265</t>
  </si>
  <si>
    <t>KL-2018-5607266</t>
  </si>
  <si>
    <t>KL-2018-5607267</t>
  </si>
  <si>
    <t>KL-2018-5607268</t>
  </si>
  <si>
    <t>KL-2018-5607269</t>
  </si>
  <si>
    <t>KL-2018-5607270</t>
  </si>
  <si>
    <t>KL-2018-5607271</t>
  </si>
  <si>
    <t>KL-2018-5607272</t>
  </si>
  <si>
    <t>KL-2018-5607273</t>
  </si>
  <si>
    <t>KL-2018-5607274</t>
  </si>
  <si>
    <t>KL-2018-5607275</t>
  </si>
  <si>
    <t>KL-2018-5607276</t>
  </si>
  <si>
    <t>KL-2018-5607277</t>
  </si>
  <si>
    <t>KL-2018-5607278</t>
  </si>
  <si>
    <t>KL-2018-5607279</t>
  </si>
  <si>
    <t>KL-2018-5607280</t>
  </si>
  <si>
    <t>KL-2018-5607281</t>
  </si>
  <si>
    <t>KL-2018-5607282</t>
  </si>
  <si>
    <t>KL-2018-5607283</t>
  </si>
  <si>
    <t>KL-2018-5607284</t>
  </si>
  <si>
    <t>KL-2018-5607285</t>
  </si>
  <si>
    <t>KL-2018-5607286</t>
  </si>
  <si>
    <t>KL-2018-5607287</t>
  </si>
  <si>
    <t>KL-2018-5607288</t>
  </si>
  <si>
    <t>KL-2018-5607289</t>
  </si>
  <si>
    <t>KL-2018-5607290</t>
  </si>
  <si>
    <t>KL-2018-5607291</t>
  </si>
  <si>
    <t>KL-2018-5607292</t>
  </si>
  <si>
    <t>KL-2018-5607293</t>
  </si>
  <si>
    <t>KL-2018-5607294</t>
  </si>
  <si>
    <t>KL-2018-5607295</t>
  </si>
  <si>
    <t>KL-2018-5607296</t>
  </si>
  <si>
    <t>KL-2018-5607297</t>
  </si>
  <si>
    <t>KL-2018-5607298</t>
  </si>
  <si>
    <t>KL-2018-5607299</t>
  </si>
  <si>
    <t>KL-2018-5607300</t>
  </si>
  <si>
    <t>KL-2018-5607301</t>
  </si>
  <si>
    <t>KL-2018-5607302</t>
  </si>
  <si>
    <t>KL-2018-5607303</t>
  </si>
  <si>
    <t>KL-2018-5607304</t>
  </si>
  <si>
    <t>KL-2018-5607305</t>
  </si>
  <si>
    <t>KL-2018-5607306</t>
  </si>
  <si>
    <t>KL-2018-5607307</t>
  </si>
  <si>
    <t>KL-2018-5607308</t>
  </si>
  <si>
    <t>KL-2018-5607309</t>
  </si>
  <si>
    <t>KL-2018-5607310</t>
  </si>
  <si>
    <t>KL-2018-5607311</t>
  </si>
  <si>
    <t>KL-2018-5607312</t>
  </si>
  <si>
    <t>KL-2018-5607313</t>
  </si>
  <si>
    <t>KL-2018-5607314</t>
  </si>
  <si>
    <t>KL-2018-5607315</t>
  </si>
  <si>
    <t>KL-2018-5607316</t>
  </si>
  <si>
    <t>KL-2018-5607317</t>
  </si>
  <si>
    <t>KL-2018-5607318</t>
  </si>
  <si>
    <t>KL-2018-5607319</t>
  </si>
  <si>
    <t>KL-2018-5607320</t>
  </si>
  <si>
    <t>KL-2018-5607321</t>
  </si>
  <si>
    <t>KL-2018-5607322</t>
  </si>
  <si>
    <t>KL-2018-5607323</t>
  </si>
  <si>
    <t>KL-2018-5607324</t>
  </si>
  <si>
    <t>KL-2018-5607325</t>
  </si>
  <si>
    <t>KL-2018-5607326</t>
  </si>
  <si>
    <t>KL-2018-5607327</t>
  </si>
  <si>
    <t>KL-2018-5607328</t>
  </si>
  <si>
    <t>KL-2018-5607329</t>
  </si>
  <si>
    <t>KL-2018-5607330</t>
  </si>
  <si>
    <t>KL-2018-5607331</t>
  </si>
  <si>
    <t>KL-2018-5607332</t>
  </si>
  <si>
    <t>KL-2018-5607333</t>
  </si>
  <si>
    <t>KL-2018-5607334</t>
  </si>
  <si>
    <t>KL-2018-5607335</t>
  </si>
  <si>
    <t>KL-2018-5607336</t>
  </si>
  <si>
    <t>KL-2018-5607337</t>
  </si>
  <si>
    <t>KL-2018-5607338</t>
  </si>
  <si>
    <t>KL-2018-5607339</t>
  </si>
  <si>
    <t>KL-2018-5607340</t>
  </si>
  <si>
    <t>KL-2018-5607341</t>
  </si>
  <si>
    <t>KL-2018-5607342</t>
  </si>
  <si>
    <t>KL-2018-5607343</t>
  </si>
  <si>
    <t>KL-2018-5607344</t>
  </si>
  <si>
    <t>KL-2018-5607345</t>
  </si>
  <si>
    <t>KL-2018-5607346</t>
  </si>
  <si>
    <t>KL-2018-5607347</t>
  </si>
  <si>
    <t>KL-2018-5607348</t>
  </si>
  <si>
    <t>KL-2018-5607349</t>
  </si>
  <si>
    <t>KL-2018-5607350</t>
  </si>
  <si>
    <t>KL-2018-5607351</t>
  </si>
  <si>
    <t>KL-2018-5607352</t>
  </si>
  <si>
    <t>KL-2018-5607353</t>
  </si>
  <si>
    <t>Jan</t>
  </si>
  <si>
    <t>Feb</t>
  </si>
  <si>
    <t>Mar</t>
  </si>
  <si>
    <t>Apr</t>
  </si>
  <si>
    <t>May</t>
  </si>
  <si>
    <t>Jun</t>
  </si>
  <si>
    <t>Jul</t>
  </si>
  <si>
    <t>Aug</t>
  </si>
  <si>
    <t>Sep</t>
  </si>
  <si>
    <t>Oct</t>
  </si>
  <si>
    <t>Nov</t>
  </si>
  <si>
    <t>Dec</t>
  </si>
  <si>
    <t>Qtr1</t>
  </si>
  <si>
    <t>Qtr2</t>
  </si>
  <si>
    <t>Qtr3</t>
  </si>
  <si>
    <t>Qtr4</t>
  </si>
  <si>
    <t>south</t>
  </si>
  <si>
    <t>north</t>
  </si>
  <si>
    <t>Months (Order Date)</t>
  </si>
  <si>
    <t>Total</t>
  </si>
  <si>
    <t>Jan Total</t>
  </si>
  <si>
    <t>Feb Total</t>
  </si>
  <si>
    <t>Mar Total</t>
  </si>
  <si>
    <t>Apr Total</t>
  </si>
  <si>
    <t>May Total</t>
  </si>
  <si>
    <t>Jun Total</t>
  </si>
  <si>
    <t>Jul Total</t>
  </si>
  <si>
    <t>Aug Total</t>
  </si>
  <si>
    <t>Sep Total</t>
  </si>
  <si>
    <t>Oct Total</t>
  </si>
  <si>
    <t>Nov Total</t>
  </si>
  <si>
    <t>Dec Total</t>
  </si>
  <si>
    <t>Quarters (Order Date)</t>
  </si>
  <si>
    <t>Qtr1 Total</t>
  </si>
  <si>
    <t>Qtr2 Total</t>
  </si>
  <si>
    <t>Qtr3 Total</t>
  </si>
  <si>
    <t>Qtr4 Total</t>
  </si>
  <si>
    <t>(All)</t>
  </si>
  <si>
    <t>Emp Name</t>
  </si>
  <si>
    <t>Total Number of woking hours</t>
  </si>
  <si>
    <t xml:space="preserve">Work Efficiency </t>
  </si>
  <si>
    <t>Total Break Taken</t>
  </si>
  <si>
    <t>Attended Calls</t>
  </si>
  <si>
    <t>Active With Cust.</t>
  </si>
  <si>
    <t>Ashok Kumar</t>
  </si>
  <si>
    <t>Manoj Kumar</t>
  </si>
  <si>
    <t>Rajesh Kumar</t>
  </si>
  <si>
    <t>Santosh Kumar</t>
  </si>
  <si>
    <t>Sunil Kumar</t>
  </si>
  <si>
    <t>Emp Total Number of woking hours</t>
  </si>
  <si>
    <t>REPORT 1: WORKING HOURS</t>
  </si>
  <si>
    <t>Sum of Active With Cust.</t>
  </si>
  <si>
    <t>Anjali Deoram</t>
  </si>
  <si>
    <t>Sheena Joseph</t>
  </si>
  <si>
    <t>Tahira Qureshi</t>
  </si>
  <si>
    <t>REPORT 2: Emp Active with Customer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</si>
</sst>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F400]h:mm:ss\ AM/PM"/>
  </numFmts>
  <fonts count="10" x14ac:knownFonts="1">
    <font>
      <sz val="11"/>
      <color theme="1"/>
      <name val="Calibri"/>
      <family val="2"/>
      <scheme val="minor"/>
    </font>
    <font>
      <sz val="11"/>
      <color theme="1"/>
      <name val="Calibri"/>
      <family val="2"/>
      <scheme val="minor"/>
    </font>
    <font>
      <b/>
      <sz val="12"/>
      <name val="Calibri"/>
      <family val="2"/>
      <scheme val="minor"/>
    </font>
    <font>
      <b/>
      <sz val="14"/>
      <name val="Times New Roman"/>
      <family val="1"/>
    </font>
    <font>
      <sz val="14"/>
      <color theme="1"/>
      <name val="Times New Roman"/>
      <family val="1"/>
    </font>
    <font>
      <b/>
      <sz val="12"/>
      <color theme="1"/>
      <name val="Times New Roman"/>
      <family val="1"/>
    </font>
    <font>
      <b/>
      <sz val="12"/>
      <color rgb="FF000000"/>
      <name val="Times New Roman"/>
      <family val="1"/>
    </font>
    <font>
      <sz val="12"/>
      <color theme="1"/>
      <name val="Times New Roman"/>
      <family val="1"/>
    </font>
    <font>
      <b/>
      <sz val="11"/>
      <color rgb="FF002060"/>
      <name val="Calibri"/>
      <family val="2"/>
      <scheme val="minor"/>
    </font>
    <font>
      <sz val="11"/>
      <color rgb="FF002060"/>
      <name val="Calibri"/>
      <family val="2"/>
      <scheme val="minor"/>
    </font>
  </fonts>
  <fills count="6">
    <fill>
      <patternFill patternType="none"/>
    </fill>
    <fill>
      <patternFill patternType="gray125"/>
    </fill>
    <fill>
      <patternFill patternType="solid">
        <fgColor theme="9" tint="0.5999938962981048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31">
    <xf numFmtId="0" fontId="0" fillId="0" borderId="0" xfId="0"/>
    <xf numFmtId="14" fontId="0" fillId="0" borderId="0" xfId="0" applyNumberFormat="1"/>
    <xf numFmtId="0" fontId="3" fillId="0" borderId="0" xfId="0" applyFont="1"/>
    <xf numFmtId="14" fontId="3" fillId="0" borderId="0" xfId="0" applyNumberFormat="1" applyFont="1"/>
    <xf numFmtId="0" fontId="4" fillId="0" borderId="0" xfId="0" applyFont="1"/>
    <xf numFmtId="14" fontId="4" fillId="0" borderId="0" xfId="0"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0" fontId="2" fillId="0" borderId="1" xfId="0" applyFont="1" applyBorder="1"/>
    <xf numFmtId="14" fontId="2" fillId="0" borderId="1" xfId="0" applyNumberFormat="1" applyFont="1" applyBorder="1"/>
    <xf numFmtId="0" fontId="0" fillId="0" borderId="1" xfId="0" applyBorder="1"/>
    <xf numFmtId="14" fontId="0" fillId="0" borderId="1" xfId="0" applyNumberFormat="1" applyBorder="1"/>
    <xf numFmtId="14" fontId="0" fillId="0" borderId="0" xfId="0" applyNumberFormat="1" applyAlignment="1">
      <alignment horizontal="left" indent="2"/>
    </xf>
    <xf numFmtId="0" fontId="0" fillId="0" borderId="0" xfId="0" pivotButton="1" applyAlignment="1">
      <alignment horizontal="center"/>
    </xf>
    <xf numFmtId="0" fontId="0" fillId="0" borderId="0" xfId="0" applyAlignment="1">
      <alignment horizontal="center"/>
    </xf>
    <xf numFmtId="49" fontId="5" fillId="2" borderId="1" xfId="0" applyNumberFormat="1" applyFont="1" applyFill="1" applyBorder="1" applyAlignment="1">
      <alignment horizontal="center" vertical="center"/>
    </xf>
    <xf numFmtId="0" fontId="5" fillId="2" borderId="1" xfId="0" applyFont="1" applyFill="1" applyBorder="1" applyAlignment="1">
      <alignment horizontal="center" vertical="center"/>
    </xf>
    <xf numFmtId="0" fontId="5" fillId="2" borderId="1" xfId="0" applyFont="1" applyFill="1" applyBorder="1" applyAlignment="1">
      <alignment horizontal="center" vertical="center" wrapText="1"/>
    </xf>
    <xf numFmtId="49" fontId="6" fillId="2" borderId="1" xfId="0" applyNumberFormat="1" applyFont="1" applyFill="1" applyBorder="1" applyAlignment="1">
      <alignment horizontal="center" vertical="center" wrapText="1"/>
    </xf>
    <xf numFmtId="0" fontId="7" fillId="0" borderId="1" xfId="0" applyFont="1" applyBorder="1"/>
    <xf numFmtId="164" fontId="7" fillId="0" borderId="1" xfId="0" applyNumberFormat="1" applyFont="1" applyBorder="1"/>
    <xf numFmtId="9" fontId="7" fillId="0" borderId="1" xfId="1" applyFont="1" applyBorder="1"/>
    <xf numFmtId="0" fontId="0" fillId="4" borderId="0" xfId="0" applyFill="1"/>
    <xf numFmtId="0" fontId="0" fillId="4" borderId="0" xfId="0" applyFill="1" applyAlignment="1">
      <alignment horizontal="left"/>
    </xf>
    <xf numFmtId="164" fontId="0" fillId="4" borderId="0" xfId="0" applyNumberFormat="1" applyFill="1"/>
    <xf numFmtId="9" fontId="0" fillId="4" borderId="0" xfId="0" applyNumberFormat="1" applyFill="1"/>
    <xf numFmtId="0" fontId="0" fillId="5" borderId="0" xfId="0" applyFill="1" applyAlignment="1">
      <alignment horizontal="center"/>
    </xf>
    <xf numFmtId="0" fontId="8" fillId="3" borderId="0" xfId="0" applyFont="1" applyFill="1" applyAlignment="1">
      <alignment horizontal="center"/>
    </xf>
    <xf numFmtId="0" fontId="0" fillId="3" borderId="0" xfId="0" applyFill="1" applyAlignment="1">
      <alignment horizontal="center"/>
    </xf>
    <xf numFmtId="0" fontId="9" fillId="3" borderId="0" xfId="0" applyFont="1" applyFill="1" applyAlignment="1">
      <alignment horizontal="center"/>
    </xf>
  </cellXfs>
  <cellStyles count="2">
    <cellStyle name="Normal" xfId="0" builtinId="0"/>
    <cellStyle name="Percent" xfId="1" builtinId="5"/>
  </cellStyles>
  <dxfs count="13">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2"/>
        </patternFill>
      </fill>
    </dxf>
    <dxf>
      <fill>
        <patternFill patternType="solid">
          <bgColor them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b val="0"/>
        <i/>
        <u val="double"/>
        <color rgb="FFFF0000"/>
        <name val="Calibri"/>
        <family val="2"/>
        <scheme val="minor"/>
      </font>
    </dxf>
  </dxfs>
  <tableStyles count="1" defaultTableStyle="TableStyleMedium2" defaultPivotStyle="PivotStyleLight16">
    <tableStyle name="myslicer" pivot="0" table="0" count="1" xr9:uid="{C56F5D61-EDFD-4231-917D-99588F4DD66E}">
      <tableStyleElement type="wholeTable" dxfId="12"/>
    </tableStyle>
  </tableStyles>
  <extLst>
    <ext xmlns:x14="http://schemas.microsoft.com/office/spreadsheetml/2009/9/main" uri="{EB79DEF2-80B8-43e5-95BD-54CBDDF9020C}">
      <x14:slicerStyles defaultSlicerStyle="SlicerStyleLight1">
        <x14:slicerStyle name="myslicer"/>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pivotCacheDefinition" Target="pivotCache/pivotCacheDefinition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[MISDashboard.xlsm]Sheet4!PivotTable5</c:name>
    <c:fmtId val="0"/>
  </c:pivotSource>
  <c:chart>
    <c:autoTitleDeleted val="1"/>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pivotFmt>
      <c:pivotFmt>
        <c:idx val="5"/>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pivotFmt>
      <c:pivotFmt>
        <c:idx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pivotFmt>
      <c:pivotFmt>
        <c:idx val="7"/>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pivotFmt>
    </c:pivotFmts>
    <c:plotArea>
      <c:layout/>
      <c:pieChart>
        <c:varyColors val="1"/>
        <c:ser>
          <c:idx val="0"/>
          <c:order val="0"/>
          <c:tx>
            <c:strRef>
              <c:f>Sheet4!$B$3</c:f>
              <c:strCache>
                <c:ptCount val="1"/>
                <c:pt idx="0">
                  <c:v>Total</c:v>
                </c:pt>
              </c:strCache>
            </c:strRef>
          </c:tx>
          <c:dPt>
            <c:idx val="0"/>
            <c:bubble3D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717C-4325-A739-2CDBF75CD699}"/>
              </c:ext>
            </c:extLst>
          </c:dPt>
          <c:dPt>
            <c:idx val="1"/>
            <c:bubble3D val="0"/>
            <c:spPr>
              <a:gradFill>
                <a:gsLst>
                  <a:gs pos="0">
                    <a:schemeClr val="accent2"/>
                  </a:gs>
                  <a:gs pos="100000">
                    <a:schemeClr val="accent2">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FB24-49DF-8DD7-FF0A164B35A6}"/>
              </c:ext>
            </c:extLst>
          </c:dPt>
          <c:dPt>
            <c:idx val="2"/>
            <c:bubble3D val="0"/>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4-717C-4325-A739-2CDBF75CD699}"/>
              </c:ext>
            </c:extLst>
          </c:dPt>
          <c:dPt>
            <c:idx val="3"/>
            <c:bubble3D val="0"/>
            <c:spPr>
              <a:gradFill>
                <a:gsLst>
                  <a:gs pos="0">
                    <a:schemeClr val="accent4"/>
                  </a:gs>
                  <a:gs pos="100000">
                    <a:schemeClr val="accent4">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7-FB24-49DF-8DD7-FF0A164B35A6}"/>
              </c:ext>
            </c:extLst>
          </c:dPt>
          <c:dLbls>
            <c:dLbl>
              <c:idx val="0"/>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17C-4325-A739-2CDBF75CD699}"/>
                </c:ext>
              </c:extLst>
            </c:dLbl>
            <c:dLbl>
              <c:idx val="2"/>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717C-4325-A739-2CDBF75CD699}"/>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Sheet4!$A$4:$A$8</c:f>
              <c:strCache>
                <c:ptCount val="4"/>
                <c:pt idx="0">
                  <c:v>Central</c:v>
                </c:pt>
                <c:pt idx="1">
                  <c:v>North</c:v>
                </c:pt>
                <c:pt idx="2">
                  <c:v>South</c:v>
                </c:pt>
                <c:pt idx="3">
                  <c:v>(blank)</c:v>
                </c:pt>
              </c:strCache>
            </c:strRef>
          </c:cat>
          <c:val>
            <c:numRef>
              <c:f>Sheet4!$B$4:$B$8</c:f>
              <c:numCache>
                <c:formatCode>General</c:formatCode>
                <c:ptCount val="4"/>
                <c:pt idx="0">
                  <c:v>113914</c:v>
                </c:pt>
                <c:pt idx="1">
                  <c:v>17968</c:v>
                </c:pt>
                <c:pt idx="2">
                  <c:v>66647</c:v>
                </c:pt>
              </c:numCache>
            </c:numRef>
          </c:val>
          <c:extLst>
            <c:ext xmlns:c16="http://schemas.microsoft.com/office/drawing/2014/chart" uri="{C3380CC4-5D6E-409C-BE32-E72D297353CC}">
              <c16:uniqueId val="{00000002-717C-4325-A739-2CDBF75CD699}"/>
            </c:ext>
          </c:extLst>
        </c:ser>
        <c:dLbls>
          <c:showLegendKey val="0"/>
          <c:showVal val="0"/>
          <c:showCatName val="0"/>
          <c:showSerName val="0"/>
          <c:showPercent val="0"/>
          <c:showBubbleSize val="0"/>
          <c:showLeaderLines val="0"/>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[MISDashboard.xlsm]Sheet7!PivotTable11</c:name>
    <c:fmtId val="0"/>
  </c:pivotSource>
  <c:chart>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Sheet7!$B$3</c:f>
              <c:strCache>
                <c:ptCount val="1"/>
                <c:pt idx="0">
                  <c:v>total sales</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Sheet7!$A$4</c:f>
              <c:strCache>
                <c:ptCount val="1"/>
                <c:pt idx="0">
                  <c:v>Grand Total</c:v>
                </c:pt>
              </c:strCache>
            </c:strRef>
          </c:cat>
          <c:val>
            <c:numRef>
              <c:f>Sheet7!$B$4</c:f>
              <c:numCache>
                <c:formatCode>General</c:formatCode>
                <c:ptCount val="1"/>
              </c:numCache>
            </c:numRef>
          </c:val>
          <c:extLst>
            <c:ext xmlns:c16="http://schemas.microsoft.com/office/drawing/2014/chart" uri="{C3380CC4-5D6E-409C-BE32-E72D297353CC}">
              <c16:uniqueId val="{00000000-A433-4F6F-80B8-1D68E56B11E5}"/>
            </c:ext>
          </c:extLst>
        </c:ser>
        <c:ser>
          <c:idx val="1"/>
          <c:order val="1"/>
          <c:tx>
            <c:strRef>
              <c:f>Sheet7!$C$3</c:f>
              <c:strCache>
                <c:ptCount val="1"/>
                <c:pt idx="0">
                  <c:v>no. of customer</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Ref>
              <c:f>Sheet7!$A$4</c:f>
              <c:strCache>
                <c:ptCount val="1"/>
                <c:pt idx="0">
                  <c:v>Grand Total</c:v>
                </c:pt>
              </c:strCache>
            </c:strRef>
          </c:cat>
          <c:val>
            <c:numRef>
              <c:f>Sheet7!$C$4</c:f>
              <c:numCache>
                <c:formatCode>General</c:formatCode>
                <c:ptCount val="1"/>
              </c:numCache>
            </c:numRef>
          </c:val>
          <c:extLst>
            <c:ext xmlns:c16="http://schemas.microsoft.com/office/drawing/2014/chart" uri="{C3380CC4-5D6E-409C-BE32-E72D297353CC}">
              <c16:uniqueId val="{00000001-A433-4F6F-80B8-1D68E56B11E5}"/>
            </c:ext>
          </c:extLst>
        </c:ser>
        <c:ser>
          <c:idx val="2"/>
          <c:order val="2"/>
          <c:tx>
            <c:strRef>
              <c:f>Sheet7!$D$3</c:f>
              <c:strCache>
                <c:ptCount val="1"/>
                <c:pt idx="0">
                  <c:v>total profit</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cat>
            <c:strRef>
              <c:f>Sheet7!$A$4</c:f>
              <c:strCache>
                <c:ptCount val="1"/>
                <c:pt idx="0">
                  <c:v>Grand Total</c:v>
                </c:pt>
              </c:strCache>
            </c:strRef>
          </c:cat>
          <c:val>
            <c:numRef>
              <c:f>Sheet7!$D$4</c:f>
              <c:numCache>
                <c:formatCode>General</c:formatCode>
                <c:ptCount val="1"/>
              </c:numCache>
            </c:numRef>
          </c:val>
          <c:extLst>
            <c:ext xmlns:c16="http://schemas.microsoft.com/office/drawing/2014/chart" uri="{C3380CC4-5D6E-409C-BE32-E72D297353CC}">
              <c16:uniqueId val="{00000002-A433-4F6F-80B8-1D68E56B11E5}"/>
            </c:ext>
          </c:extLst>
        </c:ser>
        <c:dLbls>
          <c:showLegendKey val="0"/>
          <c:showVal val="0"/>
          <c:showCatName val="0"/>
          <c:showSerName val="0"/>
          <c:showPercent val="0"/>
          <c:showBubbleSize val="0"/>
        </c:dLbls>
        <c:gapWidth val="100"/>
        <c:overlap val="-24"/>
        <c:axId val="881211072"/>
        <c:axId val="881203872"/>
      </c:barChart>
      <c:catAx>
        <c:axId val="881211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81203872"/>
        <c:crosses val="autoZero"/>
        <c:auto val="1"/>
        <c:lblAlgn val="ctr"/>
        <c:lblOffset val="100"/>
        <c:noMultiLvlLbl val="0"/>
      </c:catAx>
      <c:valAx>
        <c:axId val="881203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81211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[MISDashboard.xlsm]Dashboard!PivotTable17</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Dashboard!$A$5:$A$12</c:f>
              <c:strCache>
                <c:ptCount val="8"/>
                <c:pt idx="0">
                  <c:v>Anjali Deoram</c:v>
                </c:pt>
                <c:pt idx="1">
                  <c:v>Ashok Kumar</c:v>
                </c:pt>
                <c:pt idx="2">
                  <c:v>Manoj Kumar</c:v>
                </c:pt>
                <c:pt idx="3">
                  <c:v>Rajesh Kumar</c:v>
                </c:pt>
                <c:pt idx="4">
                  <c:v>Santosh Kumar</c:v>
                </c:pt>
                <c:pt idx="5">
                  <c:v>Sheena Joseph</c:v>
                </c:pt>
                <c:pt idx="6">
                  <c:v>Sunil Kumar</c:v>
                </c:pt>
                <c:pt idx="7">
                  <c:v>Tahira Qureshi</c:v>
                </c:pt>
              </c:strCache>
            </c:strRef>
          </c:cat>
          <c:val>
            <c:numRef>
              <c:f>Dashboard!$B$5:$B$12</c:f>
              <c:numCache>
                <c:formatCode>[$-F400]h:mm:ss\ AM/PM</c:formatCode>
                <c:ptCount val="8"/>
                <c:pt idx="0">
                  <c:v>0.38646990740740739</c:v>
                </c:pt>
                <c:pt idx="1">
                  <c:v>1.3668402777777779</c:v>
                </c:pt>
                <c:pt idx="2">
                  <c:v>0.66396990740740747</c:v>
                </c:pt>
                <c:pt idx="3">
                  <c:v>0.67937500000000006</c:v>
                </c:pt>
                <c:pt idx="4">
                  <c:v>1.0142939814814815</c:v>
                </c:pt>
                <c:pt idx="5">
                  <c:v>0.36775462962962963</c:v>
                </c:pt>
                <c:pt idx="6">
                  <c:v>0.67259259259259263</c:v>
                </c:pt>
                <c:pt idx="7">
                  <c:v>0.36542824074074076</c:v>
                </c:pt>
              </c:numCache>
            </c:numRef>
          </c:val>
          <c:extLst>
            <c:ext xmlns:c16="http://schemas.microsoft.com/office/drawing/2014/chart" uri="{C3380CC4-5D6E-409C-BE32-E72D297353CC}">
              <c16:uniqueId val="{00000000-CB58-46C0-BE2F-F321051CBCC3}"/>
            </c:ext>
          </c:extLst>
        </c:ser>
        <c:dLbls>
          <c:showLegendKey val="0"/>
          <c:showVal val="0"/>
          <c:showCatName val="0"/>
          <c:showSerName val="0"/>
          <c:showPercent val="0"/>
          <c:showBubbleSize val="0"/>
        </c:dLbls>
        <c:gapWidth val="100"/>
        <c:overlap val="-24"/>
        <c:axId val="863118656"/>
        <c:axId val="863120576"/>
      </c:barChart>
      <c:catAx>
        <c:axId val="86311865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2"/>
                </a:solidFill>
                <a:latin typeface="+mn-lt"/>
                <a:ea typeface="+mn-ea"/>
                <a:cs typeface="+mn-cs"/>
              </a:defRPr>
            </a:pPr>
            <a:endParaRPr lang="en-US"/>
          </a:p>
        </c:txPr>
        <c:crossAx val="863120576"/>
        <c:crosses val="autoZero"/>
        <c:auto val="1"/>
        <c:lblAlgn val="ctr"/>
        <c:lblOffset val="100"/>
        <c:noMultiLvlLbl val="0"/>
      </c:catAx>
      <c:valAx>
        <c:axId val="863120576"/>
        <c:scaling>
          <c:orientation val="minMax"/>
        </c:scaling>
        <c:delete val="1"/>
        <c:axPos val="l"/>
        <c:numFmt formatCode="[$-F400]h:mm:ss\ AM/PM" sourceLinked="1"/>
        <c:majorTickMark val="none"/>
        <c:minorTickMark val="none"/>
        <c:tickLblPos val="nextTo"/>
        <c:crossAx val="863118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50000"/>
      </a:schemeClr>
    </a:solidFill>
    <a:ln w="9525" cap="flat" cmpd="sng" algn="ctr">
      <a:solidFill>
        <a:schemeClr val="tx2">
          <a:lumMod val="15000"/>
          <a:lumOff val="85000"/>
        </a:schemeClr>
      </a:solidFill>
      <a:round/>
    </a:ln>
    <a:effectLst/>
  </c:spPr>
  <c:txPr>
    <a:bodyPr/>
    <a:lstStyle/>
    <a:p>
      <a:pPr>
        <a:defRPr sz="800"/>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[MISDashboard.xlsm]Dashboard!PivotTable1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no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manualLayout>
          <c:layoutTarget val="inner"/>
          <c:xMode val="edge"/>
          <c:yMode val="edge"/>
          <c:x val="6.7905728333952545E-2"/>
          <c:y val="0.18348418191498306"/>
          <c:w val="0.51018311250153103"/>
          <c:h val="0.70263681452629811"/>
        </c:manualLayout>
      </c:layout>
      <c:pieChart>
        <c:varyColors val="1"/>
        <c:ser>
          <c:idx val="0"/>
          <c:order val="0"/>
          <c:tx>
            <c:strRef>
              <c:f>Dashboard!$E$4</c:f>
              <c:strCache>
                <c:ptCount val="1"/>
                <c:pt idx="0">
                  <c:v>Total</c:v>
                </c:pt>
              </c:strCache>
            </c:strRef>
          </c:tx>
          <c:dPt>
            <c:idx val="0"/>
            <c:bubble3D val="0"/>
            <c:spPr>
              <a:noFill/>
              <a:ln w="19050">
                <a:solidFill>
                  <a:schemeClr val="lt1"/>
                </a:solidFill>
              </a:ln>
              <a:effectLst/>
            </c:spPr>
            <c:extLst>
              <c:ext xmlns:c16="http://schemas.microsoft.com/office/drawing/2014/chart" uri="{C3380CC4-5D6E-409C-BE32-E72D297353CC}">
                <c16:uniqueId val="{00000001-ECA7-41D2-AD73-EB6EE9DF209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CA7-41D2-AD73-EB6EE9DF209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CA7-41D2-AD73-EB6EE9DF209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CA7-41D2-AD73-EB6EE9DF209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E3F-4EF8-8ECB-A4FEB686D8E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E3F-4EF8-8ECB-A4FEB686D8E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E3F-4EF8-8ECB-A4FEB686D8E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E3F-4EF8-8ECB-A4FEB686D8E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E3F-4EF8-8ECB-A4FEB686D8E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Dashboard!$D$5:$D$7</c:f>
              <c:strCache>
                <c:ptCount val="3"/>
                <c:pt idx="0">
                  <c:v>Ashok Kumar</c:v>
                </c:pt>
                <c:pt idx="1">
                  <c:v>Rajesh Kumar</c:v>
                </c:pt>
                <c:pt idx="2">
                  <c:v>Santosh Kumar</c:v>
                </c:pt>
              </c:strCache>
            </c:strRef>
          </c:cat>
          <c:val>
            <c:numRef>
              <c:f>Dashboard!$E$5:$E$7</c:f>
              <c:numCache>
                <c:formatCode>0%</c:formatCode>
                <c:ptCount val="3"/>
                <c:pt idx="0">
                  <c:v>2.0905948641136138</c:v>
                </c:pt>
                <c:pt idx="1">
                  <c:v>1.122824596941316</c:v>
                </c:pt>
                <c:pt idx="2">
                  <c:v>1.7236731368386569</c:v>
                </c:pt>
              </c:numCache>
            </c:numRef>
          </c:val>
          <c:extLst>
            <c:ext xmlns:c16="http://schemas.microsoft.com/office/drawing/2014/chart" uri="{C3380CC4-5D6E-409C-BE32-E72D297353CC}">
              <c16:uniqueId val="{00000000-797D-4D34-B6BA-D108916AAD23}"/>
            </c:ext>
          </c:extLst>
        </c:ser>
        <c:dLbls>
          <c:showLegendKey val="0"/>
          <c:showVal val="0"/>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5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31" fmlaLink="$E$2" max="500" min="1" page="10" val="8"/>
</file>

<file path=xl/ctrlProps/ctrlProp2.xml><?xml version="1.0" encoding="utf-8"?>
<formControlPr xmlns="http://schemas.microsoft.com/office/spreadsheetml/2009/9/main" objectType="Spin" dx="31" fmlaLink="$K$1" max="500" min="1" page="10" val="3"/>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chart" Target="../charts/chart3.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104775</xdr:colOff>
      <xdr:row>2</xdr:row>
      <xdr:rowOff>85725</xdr:rowOff>
    </xdr:from>
    <xdr:to>
      <xdr:col>12</xdr:col>
      <xdr:colOff>409575</xdr:colOff>
      <xdr:row>17</xdr:row>
      <xdr:rowOff>66675</xdr:rowOff>
    </xdr:to>
    <xdr:graphicFrame macro="">
      <xdr:nvGraphicFramePr>
        <xdr:cNvPr id="2" name="Chart 1">
          <a:extLst>
            <a:ext uri="{FF2B5EF4-FFF2-40B4-BE49-F238E27FC236}">
              <a16:creationId xmlns:a16="http://schemas.microsoft.com/office/drawing/2014/main" id="{FCE8D825-689A-AC0C-1861-A6CCEDBD3C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146050</xdr:colOff>
      <xdr:row>1</xdr:row>
      <xdr:rowOff>127000</xdr:rowOff>
    </xdr:from>
    <xdr:to>
      <xdr:col>8</xdr:col>
      <xdr:colOff>146050</xdr:colOff>
      <xdr:row>15</xdr:row>
      <xdr:rowOff>73025</xdr:rowOff>
    </xdr:to>
    <mc:AlternateContent xmlns:mc="http://schemas.openxmlformats.org/markup-compatibility/2006" xmlns:a14="http://schemas.microsoft.com/office/drawing/2010/main">
      <mc:Choice Requires="a14">
        <xdr:graphicFrame macro="">
          <xdr:nvGraphicFramePr>
            <xdr:cNvPr id="3" name="Country">
              <a:extLst>
                <a:ext uri="{FF2B5EF4-FFF2-40B4-BE49-F238E27FC236}">
                  <a16:creationId xmlns:a16="http://schemas.microsoft.com/office/drawing/2014/main" id="{DAA8CC87-DD58-7A22-4886-5BC03E49814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3638550" y="3111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3</xdr:col>
      <xdr:colOff>292100</xdr:colOff>
      <xdr:row>2</xdr:row>
      <xdr:rowOff>0</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1CA59016-6BEF-0C55-B86A-BBFF76EE587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2628900" cy="368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98425</xdr:colOff>
      <xdr:row>1</xdr:row>
      <xdr:rowOff>15875</xdr:rowOff>
    </xdr:from>
    <xdr:to>
      <xdr:col>11</xdr:col>
      <xdr:colOff>403225</xdr:colOff>
      <xdr:row>15</xdr:row>
      <xdr:rowOff>180975</xdr:rowOff>
    </xdr:to>
    <xdr:graphicFrame macro="">
      <xdr:nvGraphicFramePr>
        <xdr:cNvPr id="2" name="Chart 1">
          <a:extLst>
            <a:ext uri="{FF2B5EF4-FFF2-40B4-BE49-F238E27FC236}">
              <a16:creationId xmlns:a16="http://schemas.microsoft.com/office/drawing/2014/main" id="{80E48871-AB9E-2156-A138-FE252A5D01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654050</xdr:colOff>
      <xdr:row>12</xdr:row>
      <xdr:rowOff>139700</xdr:rowOff>
    </xdr:from>
    <xdr:to>
      <xdr:col>5</xdr:col>
      <xdr:colOff>171450</xdr:colOff>
      <xdr:row>20</xdr:row>
      <xdr:rowOff>38100</xdr:rowOff>
    </xdr:to>
    <mc:AlternateContent xmlns:mc="http://schemas.openxmlformats.org/markup-compatibility/2006" xmlns:tsle="http://schemas.microsoft.com/office/drawing/2012/timeslicer">
      <mc:Choice Requires="tsle">
        <xdr:graphicFrame macro="">
          <xdr:nvGraphicFramePr>
            <xdr:cNvPr id="3" name="Order Date">
              <a:extLst>
                <a:ext uri="{FF2B5EF4-FFF2-40B4-BE49-F238E27FC236}">
                  <a16:creationId xmlns:a16="http://schemas.microsoft.com/office/drawing/2014/main" id="{5E196642-2F1C-D5BA-28C4-20C648D26B63}"/>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654050" y="2349500"/>
              <a:ext cx="333375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882650</xdr:colOff>
          <xdr:row>0</xdr:row>
          <xdr:rowOff>63500</xdr:rowOff>
        </xdr:from>
        <xdr:to>
          <xdr:col>1</xdr:col>
          <xdr:colOff>1327150</xdr:colOff>
          <xdr:row>1</xdr:row>
          <xdr:rowOff>152400</xdr:rowOff>
        </xdr:to>
        <xdr:sp macro="" textlink="">
          <xdr:nvSpPr>
            <xdr:cNvPr id="10243" name="Spinner 3"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1327150</xdr:colOff>
      <xdr:row>0</xdr:row>
      <xdr:rowOff>63500</xdr:rowOff>
    </xdr:from>
    <xdr:to>
      <xdr:col>1</xdr:col>
      <xdr:colOff>1625600</xdr:colOff>
      <xdr:row>1</xdr:row>
      <xdr:rowOff>152400</xdr:rowOff>
    </xdr:to>
    <xdr:sp macro="" textlink="$E$2">
      <xdr:nvSpPr>
        <xdr:cNvPr id="8" name="Rectangle: Rounded Corners 7">
          <a:extLst>
            <a:ext uri="{FF2B5EF4-FFF2-40B4-BE49-F238E27FC236}">
              <a16:creationId xmlns:a16="http://schemas.microsoft.com/office/drawing/2014/main" id="{F9A7D459-723D-7D48-4410-CE09AC9CA0F6}"/>
            </a:ext>
          </a:extLst>
        </xdr:cNvPr>
        <xdr:cNvSpPr/>
      </xdr:nvSpPr>
      <xdr:spPr>
        <a:xfrm>
          <a:off x="2266950" y="63500"/>
          <a:ext cx="298450" cy="425450"/>
        </a:xfrm>
        <a:prstGeom prst="round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AADA7E78-7149-43AE-9724-56B8024FCBB8}" type="TxLink">
            <a:rPr lang="en-US" sz="1600" b="1" i="1" u="none" strike="noStrike" cap="none" spc="0">
              <a:ln w="0"/>
              <a:solidFill>
                <a:srgbClr val="000000"/>
              </a:solidFill>
              <a:effectLst>
                <a:outerShdw blurRad="38100" dist="19050" dir="2700000" algn="tl" rotWithShape="0">
                  <a:schemeClr val="dk1">
                    <a:alpha val="40000"/>
                  </a:schemeClr>
                </a:outerShdw>
              </a:effectLst>
              <a:latin typeface="Calibri"/>
              <a:ea typeface="Calibri"/>
              <a:cs typeface="Calibri"/>
            </a:rPr>
            <a:pPr algn="l"/>
            <a:t>8</a:t>
          </a:fld>
          <a:endParaRPr lang="en-US" sz="1600" b="1" i="1" cap="none" spc="0">
            <a:ln w="0"/>
            <a:effectLst>
              <a:outerShdw blurRad="38100" dist="19050" dir="2700000" algn="tl" rotWithShape="0">
                <a:schemeClr val="dk1">
                  <a:alpha val="40000"/>
                </a:schemeClr>
              </a:outerShdw>
            </a:effectLst>
          </a:endParaRPr>
        </a:p>
      </xdr:txBody>
    </xdr:sp>
    <xdr:clientData/>
  </xdr:twoCellAnchor>
  <xdr:twoCellAnchor>
    <xdr:from>
      <xdr:col>0</xdr:col>
      <xdr:colOff>0</xdr:colOff>
      <xdr:row>8</xdr:row>
      <xdr:rowOff>180975</xdr:rowOff>
    </xdr:from>
    <xdr:to>
      <xdr:col>2</xdr:col>
      <xdr:colOff>12700</xdr:colOff>
      <xdr:row>18</xdr:row>
      <xdr:rowOff>12700</xdr:rowOff>
    </xdr:to>
    <xdr:graphicFrame macro="">
      <xdr:nvGraphicFramePr>
        <xdr:cNvPr id="2" name="Chart 1">
          <a:extLst>
            <a:ext uri="{FF2B5EF4-FFF2-40B4-BE49-F238E27FC236}">
              <a16:creationId xmlns:a16="http://schemas.microsoft.com/office/drawing/2014/main" id="{C0093BF1-ACD8-3650-745F-9911F6DF24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xdr:col>
      <xdr:colOff>209550</xdr:colOff>
      <xdr:row>1</xdr:row>
      <xdr:rowOff>139700</xdr:rowOff>
    </xdr:to>
    <xdr:sp macro="" textlink="">
      <xdr:nvSpPr>
        <xdr:cNvPr id="3" name="Arrow: Right 2">
          <a:extLst>
            <a:ext uri="{FF2B5EF4-FFF2-40B4-BE49-F238E27FC236}">
              <a16:creationId xmlns:a16="http://schemas.microsoft.com/office/drawing/2014/main" id="{034A631B-697D-7CF9-2246-3EB62E20205C}"/>
            </a:ext>
          </a:extLst>
        </xdr:cNvPr>
        <xdr:cNvSpPr/>
      </xdr:nvSpPr>
      <xdr:spPr>
        <a:xfrm>
          <a:off x="0" y="0"/>
          <a:ext cx="1149350" cy="476250"/>
        </a:xfrm>
        <a:prstGeom prst="rightArrow">
          <a:avLst>
            <a:gd name="adj1" fmla="val 100000"/>
            <a:gd name="adj2" fmla="val 90746"/>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IN" sz="1200" b="1"/>
            <a:t>CHART</a:t>
          </a:r>
        </a:p>
      </xdr:txBody>
    </xdr:sp>
    <xdr:clientData/>
  </xdr:twoCellAnchor>
  <xdr:twoCellAnchor editAs="oneCell">
    <xdr:from>
      <xdr:col>1</xdr:col>
      <xdr:colOff>303634</xdr:colOff>
      <xdr:row>0</xdr:row>
      <xdr:rowOff>63500</xdr:rowOff>
    </xdr:from>
    <xdr:to>
      <xdr:col>1</xdr:col>
      <xdr:colOff>762000</xdr:colOff>
      <xdr:row>1</xdr:row>
      <xdr:rowOff>171450</xdr:rowOff>
    </xdr:to>
    <xdr:pic macro="[0]!Showchart">
      <xdr:nvPicPr>
        <xdr:cNvPr id="5" name="Picture 4" hidden="1">
          <a:extLst>
            <a:ext uri="{FF2B5EF4-FFF2-40B4-BE49-F238E27FC236}">
              <a16:creationId xmlns:a16="http://schemas.microsoft.com/office/drawing/2014/main" id="{F776E866-6F8F-9826-225D-B1BD10DD8DB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3434" y="63500"/>
          <a:ext cx="458366" cy="444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311150</xdr:colOff>
      <xdr:row>0</xdr:row>
      <xdr:rowOff>57150</xdr:rowOff>
    </xdr:from>
    <xdr:to>
      <xdr:col>1</xdr:col>
      <xdr:colOff>755650</xdr:colOff>
      <xdr:row>1</xdr:row>
      <xdr:rowOff>150317</xdr:rowOff>
    </xdr:to>
    <xdr:pic macro="[0]!Hidechart">
      <xdr:nvPicPr>
        <xdr:cNvPr id="7" name="Picture 6">
          <a:extLst>
            <a:ext uri="{FF2B5EF4-FFF2-40B4-BE49-F238E27FC236}">
              <a16:creationId xmlns:a16="http://schemas.microsoft.com/office/drawing/2014/main" id="{0E105434-ECD1-1BFC-C816-51D11CF73BB6}"/>
            </a:ext>
          </a:extLst>
        </xdr:cNvPr>
        <xdr:cNvPicPr>
          <a:picLocks noChangeAspect="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tretch>
          <a:fillRect/>
        </a:stretch>
      </xdr:blipFill>
      <xdr:spPr>
        <a:xfrm>
          <a:off x="1250950" y="57150"/>
          <a:ext cx="444500" cy="429717"/>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xdr:col>
      <xdr:colOff>1568450</xdr:colOff>
      <xdr:row>0</xdr:row>
      <xdr:rowOff>6350</xdr:rowOff>
    </xdr:from>
    <xdr:to>
      <xdr:col>1</xdr:col>
      <xdr:colOff>2711450</xdr:colOff>
      <xdr:row>1</xdr:row>
      <xdr:rowOff>146050</xdr:rowOff>
    </xdr:to>
    <xdr:sp macro="" textlink="">
      <xdr:nvSpPr>
        <xdr:cNvPr id="9" name="Arrow: Right 8">
          <a:extLst>
            <a:ext uri="{FF2B5EF4-FFF2-40B4-BE49-F238E27FC236}">
              <a16:creationId xmlns:a16="http://schemas.microsoft.com/office/drawing/2014/main" id="{C2CDD89B-ADE0-434C-92B1-24E6D181B63D}"/>
            </a:ext>
          </a:extLst>
        </xdr:cNvPr>
        <xdr:cNvSpPr/>
      </xdr:nvSpPr>
      <xdr:spPr>
        <a:xfrm flipH="1">
          <a:off x="2508250" y="6350"/>
          <a:ext cx="1143000" cy="476250"/>
        </a:xfrm>
        <a:prstGeom prst="rightArrow">
          <a:avLst>
            <a:gd name="adj1" fmla="val 100000"/>
            <a:gd name="adj2" fmla="val 90746"/>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1"/>
            <a:t>REPORT</a:t>
          </a:r>
        </a:p>
      </xdr:txBody>
    </xdr:sp>
    <xdr:clientData/>
  </xdr:twoCellAnchor>
  <xdr:twoCellAnchor>
    <xdr:from>
      <xdr:col>3</xdr:col>
      <xdr:colOff>12700</xdr:colOff>
      <xdr:row>0</xdr:row>
      <xdr:rowOff>25400</xdr:rowOff>
    </xdr:from>
    <xdr:to>
      <xdr:col>4</xdr:col>
      <xdr:colOff>273050</xdr:colOff>
      <xdr:row>1</xdr:row>
      <xdr:rowOff>133350</xdr:rowOff>
    </xdr:to>
    <xdr:sp macro="" textlink="">
      <xdr:nvSpPr>
        <xdr:cNvPr id="6" name="Arrow: Right 5">
          <a:extLst>
            <a:ext uri="{FF2B5EF4-FFF2-40B4-BE49-F238E27FC236}">
              <a16:creationId xmlns:a16="http://schemas.microsoft.com/office/drawing/2014/main" id="{BEF12B6B-20F7-C95E-ADF0-2B674B13F4C8}"/>
            </a:ext>
          </a:extLst>
        </xdr:cNvPr>
        <xdr:cNvSpPr/>
      </xdr:nvSpPr>
      <xdr:spPr>
        <a:xfrm>
          <a:off x="4292600" y="25400"/>
          <a:ext cx="1301750" cy="444500"/>
        </a:xfrm>
        <a:prstGeom prst="rightArrow">
          <a:avLst>
            <a:gd name="adj1" fmla="val 100000"/>
            <a:gd name="adj2" fmla="val 127044"/>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b="1"/>
            <a:t>CHART</a:t>
          </a:r>
        </a:p>
      </xdr:txBody>
    </xdr:sp>
    <xdr:clientData/>
  </xdr:twoCellAnchor>
  <xdr:twoCellAnchor editAs="oneCell">
    <xdr:from>
      <xdr:col>4</xdr:col>
      <xdr:colOff>311151</xdr:colOff>
      <xdr:row>0</xdr:row>
      <xdr:rowOff>44451</xdr:rowOff>
    </xdr:from>
    <xdr:to>
      <xdr:col>4</xdr:col>
      <xdr:colOff>793750</xdr:colOff>
      <xdr:row>1</xdr:row>
      <xdr:rowOff>177801</xdr:rowOff>
    </xdr:to>
    <xdr:pic macro="[0]!Hidechart2">
      <xdr:nvPicPr>
        <xdr:cNvPr id="11" name="Picture 10">
          <a:extLst>
            <a:ext uri="{FF2B5EF4-FFF2-40B4-BE49-F238E27FC236}">
              <a16:creationId xmlns:a16="http://schemas.microsoft.com/office/drawing/2014/main" id="{44598539-90A5-22F1-7180-E9AE40B7714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632451" y="44451"/>
          <a:ext cx="482599" cy="469900"/>
        </a:xfrm>
        <a:prstGeom prst="rect">
          <a:avLst/>
        </a:prstGeom>
      </xdr:spPr>
    </xdr:pic>
    <xdr:clientData/>
  </xdr:twoCellAnchor>
  <xdr:twoCellAnchor editAs="oneCell">
    <xdr:from>
      <xdr:col>4</xdr:col>
      <xdr:colOff>317500</xdr:colOff>
      <xdr:row>0</xdr:row>
      <xdr:rowOff>44450</xdr:rowOff>
    </xdr:from>
    <xdr:to>
      <xdr:col>4</xdr:col>
      <xdr:colOff>781050</xdr:colOff>
      <xdr:row>1</xdr:row>
      <xdr:rowOff>177800</xdr:rowOff>
    </xdr:to>
    <xdr:pic macro="[0]!Showchart2">
      <xdr:nvPicPr>
        <xdr:cNvPr id="13" name="Picture 12" hidden="1">
          <a:extLst>
            <a:ext uri="{FF2B5EF4-FFF2-40B4-BE49-F238E27FC236}">
              <a16:creationId xmlns:a16="http://schemas.microsoft.com/office/drawing/2014/main" id="{E4B2DB31-E864-2650-B00B-310365E1426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638800" y="44450"/>
          <a:ext cx="463550" cy="46990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863600</xdr:colOff>
          <xdr:row>0</xdr:row>
          <xdr:rowOff>19050</xdr:rowOff>
        </xdr:from>
        <xdr:to>
          <xdr:col>4</xdr:col>
          <xdr:colOff>1270000</xdr:colOff>
          <xdr:row>1</xdr:row>
          <xdr:rowOff>165100</xdr:rowOff>
        </xdr:to>
        <xdr:sp macro="" textlink="">
          <xdr:nvSpPr>
            <xdr:cNvPr id="10244" name="Spinner 4" hidden="1">
              <a:extLst>
                <a:ext uri="{63B3BB69-23CF-44E3-9099-C40C66FF867C}">
                  <a14:compatExt spid="_x0000_s10244"/>
                </a:ext>
                <a:ext uri="{FF2B5EF4-FFF2-40B4-BE49-F238E27FC236}">
                  <a16:creationId xmlns:a16="http://schemas.microsoft.com/office/drawing/2014/main" id="{00000000-0008-0000-0700-000004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4</xdr:col>
      <xdr:colOff>1301750</xdr:colOff>
      <xdr:row>0</xdr:row>
      <xdr:rowOff>25400</xdr:rowOff>
    </xdr:from>
    <xdr:to>
      <xdr:col>4</xdr:col>
      <xdr:colOff>1600200</xdr:colOff>
      <xdr:row>1</xdr:row>
      <xdr:rowOff>177800</xdr:rowOff>
    </xdr:to>
    <xdr:sp macro="" textlink="$K$1">
      <xdr:nvSpPr>
        <xdr:cNvPr id="14" name="Rectangle 13">
          <a:extLst>
            <a:ext uri="{FF2B5EF4-FFF2-40B4-BE49-F238E27FC236}">
              <a16:creationId xmlns:a16="http://schemas.microsoft.com/office/drawing/2014/main" id="{46D76291-B38E-9302-2200-189C3613493E}"/>
            </a:ext>
          </a:extLst>
        </xdr:cNvPr>
        <xdr:cNvSpPr/>
      </xdr:nvSpPr>
      <xdr:spPr>
        <a:xfrm flipH="1">
          <a:off x="6623050" y="25400"/>
          <a:ext cx="298450" cy="488950"/>
        </a:xfrm>
        <a:prstGeom prst="rect">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fld id="{F0B52691-CBE4-4B5C-BDC9-29003DB36E86}" type="TxLink">
            <a:rPr lang="en-US" sz="1800" b="1" i="1" u="none" strike="noStrike">
              <a:solidFill>
                <a:srgbClr val="000000"/>
              </a:solidFill>
              <a:latin typeface="Calibri"/>
              <a:ea typeface="Calibri"/>
              <a:cs typeface="Calibri"/>
            </a:rPr>
            <a:pPr algn="l"/>
            <a:t>3</a:t>
          </a:fld>
          <a:endParaRPr lang="en-IN" sz="1800" b="1" i="1"/>
        </a:p>
      </xdr:txBody>
    </xdr:sp>
    <xdr:clientData/>
  </xdr:twoCellAnchor>
  <xdr:twoCellAnchor>
    <xdr:from>
      <xdr:col>3</xdr:col>
      <xdr:colOff>12699</xdr:colOff>
      <xdr:row>9</xdr:row>
      <xdr:rowOff>0</xdr:rowOff>
    </xdr:from>
    <xdr:to>
      <xdr:col>5</xdr:col>
      <xdr:colOff>12700</xdr:colOff>
      <xdr:row>18</xdr:row>
      <xdr:rowOff>38100</xdr:rowOff>
    </xdr:to>
    <xdr:graphicFrame macro="">
      <xdr:nvGraphicFramePr>
        <xdr:cNvPr id="15" name="Chart 14">
          <a:extLst>
            <a:ext uri="{FF2B5EF4-FFF2-40B4-BE49-F238E27FC236}">
              <a16:creationId xmlns:a16="http://schemas.microsoft.com/office/drawing/2014/main" id="{EB29DFDD-8EBB-A103-1C20-42C464FE66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1543050</xdr:colOff>
      <xdr:row>0</xdr:row>
      <xdr:rowOff>38100</xdr:rowOff>
    </xdr:from>
    <xdr:to>
      <xdr:col>8</xdr:col>
      <xdr:colOff>6350</xdr:colOff>
      <xdr:row>1</xdr:row>
      <xdr:rowOff>139700</xdr:rowOff>
    </xdr:to>
    <xdr:sp macro="" textlink="">
      <xdr:nvSpPr>
        <xdr:cNvPr id="16" name="Arrow: Right 15">
          <a:extLst>
            <a:ext uri="{FF2B5EF4-FFF2-40B4-BE49-F238E27FC236}">
              <a16:creationId xmlns:a16="http://schemas.microsoft.com/office/drawing/2014/main" id="{CDA5B725-1169-48A8-BB21-474ACB2DE9C5}"/>
            </a:ext>
          </a:extLst>
        </xdr:cNvPr>
        <xdr:cNvSpPr/>
      </xdr:nvSpPr>
      <xdr:spPr>
        <a:xfrm flipH="1">
          <a:off x="6864350" y="38100"/>
          <a:ext cx="1301750" cy="438150"/>
        </a:xfrm>
        <a:prstGeom prst="rightArrow">
          <a:avLst>
            <a:gd name="adj1" fmla="val 100000"/>
            <a:gd name="adj2" fmla="val 127044"/>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b="1"/>
            <a:t>RECORD</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0.88793</cdr:x>
      <cdr:y>0.05503</cdr:y>
    </cdr:from>
    <cdr:to>
      <cdr:x>0.97069</cdr:x>
      <cdr:y>0.31689</cdr:y>
    </cdr:to>
    <cdr:pic macro="[0]!spinner3_code">
      <cdr:nvPicPr>
        <cdr:cNvPr id="3" name="chart">
          <a:extLst xmlns:a="http://schemas.openxmlformats.org/drawingml/2006/main">
            <a:ext uri="{FF2B5EF4-FFF2-40B4-BE49-F238E27FC236}">
              <a16:creationId xmlns:a16="http://schemas.microsoft.com/office/drawing/2014/main" id="{CD65AAF4-6145-6DD1-1FE1-569EB34E340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270250" y="92075"/>
          <a:ext cx="304800" cy="438150"/>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upesh%20Ambule\AppData\Local\Temp\c9ecdd35-a9f3-4674-bf6a-6c07619249b8_Dashboard%20practice%20file%20for%20students.zip.9b8\Dashboard%20practice%20file%20for%20students\Practice%20DATA%20From%20Learn%20More.xlsm" TargetMode="External"/><Relationship Id="rId1" Type="http://schemas.openxmlformats.org/officeDocument/2006/relationships/externalLinkPath" Target="file:///C:\Users\Rupesh%20Ambule\AppData\Local\Temp\c9ecdd35-a9f3-4674-bf6a-6c07619249b8_Dashboard%20practice%20file%20for%20students.zip.9b8\Dashboard%20practice%20file%20for%20students\Practice%20DATA%20From%20Learn%20Mor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user\Desktop\Call%20Center%20Data%2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reak"/>
      <sheetName val="Efficiency"/>
      <sheetName val="OverAll Performance"/>
      <sheetName val="Summary"/>
      <sheetName val="Dashboard"/>
    </sheetNames>
    <sheetDataSet>
      <sheetData sheetId="0">
        <row r="1">
          <cell r="A1" t="str">
            <v>Employee</v>
          </cell>
          <cell r="B1" t="str">
            <v>Lunch</v>
          </cell>
          <cell r="C1" t="str">
            <v>Normal Break</v>
          </cell>
          <cell r="D1" t="str">
            <v>Feedback</v>
          </cell>
          <cell r="E1" t="str">
            <v>Training</v>
          </cell>
          <cell r="F1" t="str">
            <v>Meeting</v>
          </cell>
          <cell r="G1" t="str">
            <v>Unwanted Break</v>
          </cell>
          <cell r="H1" t="str">
            <v>Other Work</v>
          </cell>
          <cell r="I1" t="str">
            <v>Total Break Taken</v>
          </cell>
        </row>
        <row r="2">
          <cell r="A2" t="str">
            <v>Mum_Abdul Hamid (1008512)</v>
          </cell>
          <cell r="B2" t="str">
            <v>00:36:49</v>
          </cell>
          <cell r="C2" t="str">
            <v>00:30:24</v>
          </cell>
          <cell r="D2" t="str">
            <v>00:00:00</v>
          </cell>
          <cell r="E2" t="str">
            <v>00:00:00</v>
          </cell>
          <cell r="F2" t="str">
            <v>00:00:00</v>
          </cell>
          <cell r="G2" t="str">
            <v>00:00:00</v>
          </cell>
          <cell r="H2" t="str">
            <v>00:00:00</v>
          </cell>
          <cell r="I2" t="str">
            <v>01:08:42</v>
          </cell>
        </row>
        <row r="3">
          <cell r="A3" t="str">
            <v>Mum_Afzal Husain (1008513)</v>
          </cell>
          <cell r="B3" t="str">
            <v>00:39:56</v>
          </cell>
          <cell r="C3" t="str">
            <v>00:29:55</v>
          </cell>
          <cell r="D3" t="str">
            <v>00:00:00</v>
          </cell>
          <cell r="E3" t="str">
            <v>00:00:00</v>
          </cell>
          <cell r="F3" t="str">
            <v>00:00:00</v>
          </cell>
          <cell r="G3" t="str">
            <v>00:00:00</v>
          </cell>
          <cell r="H3" t="str">
            <v>00:00:00</v>
          </cell>
          <cell r="I3" t="str">
            <v>01:09:59</v>
          </cell>
        </row>
        <row r="4">
          <cell r="A4" t="str">
            <v>Mum_Anamika Gupta (1008514)</v>
          </cell>
          <cell r="B4" t="str">
            <v>00:39:49</v>
          </cell>
          <cell r="C4" t="str">
            <v>00:29:49</v>
          </cell>
          <cell r="D4" t="str">
            <v>00:00:00</v>
          </cell>
          <cell r="E4" t="str">
            <v>00:00:00</v>
          </cell>
          <cell r="F4" t="str">
            <v>00:00:00</v>
          </cell>
          <cell r="G4" t="str">
            <v>00:04:09</v>
          </cell>
          <cell r="H4" t="str">
            <v>00:00:00</v>
          </cell>
          <cell r="I4" t="str">
            <v>01:13:54</v>
          </cell>
        </row>
        <row r="5">
          <cell r="A5" t="str">
            <v>Mum_Anikuttan (1008515)</v>
          </cell>
          <cell r="B5" t="str">
            <v>00:39:17</v>
          </cell>
          <cell r="C5" t="str">
            <v>00:22:20</v>
          </cell>
          <cell r="D5" t="str">
            <v>01:10:58</v>
          </cell>
          <cell r="E5" t="str">
            <v>00:00:00</v>
          </cell>
          <cell r="F5" t="str">
            <v>00:00:00</v>
          </cell>
          <cell r="G5" t="str">
            <v>00:00:00</v>
          </cell>
          <cell r="H5" t="str">
            <v>00:00:00</v>
          </cell>
          <cell r="I5" t="str">
            <v>02:19:02</v>
          </cell>
        </row>
        <row r="6">
          <cell r="A6" t="str">
            <v>Mum_Anil Kumar (1008516)</v>
          </cell>
          <cell r="B6" t="str">
            <v>00:00:00</v>
          </cell>
          <cell r="C6" t="str">
            <v>00:29:44</v>
          </cell>
          <cell r="D6" t="str">
            <v>00:00:00</v>
          </cell>
          <cell r="E6" t="str">
            <v>00:00:00</v>
          </cell>
          <cell r="F6" t="str">
            <v>00:29:31</v>
          </cell>
          <cell r="G6" t="str">
            <v>00:00:00</v>
          </cell>
          <cell r="H6" t="str">
            <v>02:05:20</v>
          </cell>
          <cell r="I6" t="str">
            <v>03:04:58</v>
          </cell>
        </row>
        <row r="7">
          <cell r="A7" t="str">
            <v>Mum_Anita Dixit (1008517)</v>
          </cell>
          <cell r="B7" t="str">
            <v>00:00:00</v>
          </cell>
          <cell r="C7" t="str">
            <v>00:14:56</v>
          </cell>
          <cell r="D7" t="str">
            <v>00:00:00</v>
          </cell>
          <cell r="E7" t="str">
            <v>00:00:00</v>
          </cell>
          <cell r="F7" t="str">
            <v>00:00:00</v>
          </cell>
          <cell r="G7" t="str">
            <v>00:10:12</v>
          </cell>
          <cell r="H7" t="str">
            <v>00:00:00</v>
          </cell>
          <cell r="I7" t="str">
            <v>00:27:07</v>
          </cell>
        </row>
        <row r="8">
          <cell r="A8" t="str">
            <v>Mum_Anita Ghore (1008518)</v>
          </cell>
          <cell r="B8" t="str">
            <v>00:39:59</v>
          </cell>
          <cell r="C8" t="str">
            <v>00:29:58</v>
          </cell>
          <cell r="D8" t="str">
            <v>00:00:00</v>
          </cell>
          <cell r="E8" t="str">
            <v>00:00:00</v>
          </cell>
          <cell r="F8" t="str">
            <v>00:00:00</v>
          </cell>
          <cell r="G8" t="str">
            <v>00:00:00</v>
          </cell>
          <cell r="H8" t="str">
            <v>01:31:35</v>
          </cell>
          <cell r="I8" t="str">
            <v>02:41:42</v>
          </cell>
        </row>
        <row r="9">
          <cell r="A9" t="str">
            <v>Mum_Anjali Deoram (1008519)</v>
          </cell>
          <cell r="B9" t="str">
            <v>00:40:23</v>
          </cell>
          <cell r="C9" t="str">
            <v>00:29:26</v>
          </cell>
          <cell r="D9" t="str">
            <v>00:00:00</v>
          </cell>
          <cell r="E9" t="str">
            <v>00:00:00</v>
          </cell>
          <cell r="F9" t="str">
            <v>00:00:00</v>
          </cell>
          <cell r="G9" t="str">
            <v>00:00:00</v>
          </cell>
          <cell r="H9" t="str">
            <v>00:00:00</v>
          </cell>
          <cell r="I9" t="str">
            <v>01:13:10</v>
          </cell>
        </row>
        <row r="10">
          <cell r="A10" t="str">
            <v>Mum_Anjali Sahay (1008520)</v>
          </cell>
          <cell r="B10" t="str">
            <v>00:39:55</v>
          </cell>
          <cell r="C10" t="str">
            <v>00:24:49</v>
          </cell>
          <cell r="D10" t="str">
            <v>00:00:00</v>
          </cell>
          <cell r="E10" t="str">
            <v>00:00:00</v>
          </cell>
          <cell r="F10" t="str">
            <v>00:00:00</v>
          </cell>
          <cell r="G10" t="str">
            <v>00:00:00</v>
          </cell>
          <cell r="H10" t="str">
            <v>00:00:00</v>
          </cell>
          <cell r="I10" t="str">
            <v>01:06:39</v>
          </cell>
        </row>
        <row r="11">
          <cell r="A11" t="str">
            <v>Mum_Annu Latika (1008521)</v>
          </cell>
          <cell r="B11" t="str">
            <v>00:39:51</v>
          </cell>
          <cell r="C11" t="str">
            <v>00:29:59</v>
          </cell>
          <cell r="D11" t="str">
            <v>00:00:00</v>
          </cell>
          <cell r="E11" t="str">
            <v>00:00:00</v>
          </cell>
          <cell r="F11" t="str">
            <v>00:00:00</v>
          </cell>
          <cell r="G11" t="str">
            <v>00:00:00</v>
          </cell>
          <cell r="H11" t="str">
            <v>00:00:00</v>
          </cell>
          <cell r="I11" t="str">
            <v>01:09:57</v>
          </cell>
        </row>
        <row r="12">
          <cell r="A12" t="str">
            <v>Mum_Anoop Narayan (1008522)</v>
          </cell>
          <cell r="B12" t="str">
            <v>00:39:41</v>
          </cell>
          <cell r="C12" t="str">
            <v>00:29:25</v>
          </cell>
          <cell r="D12" t="str">
            <v>00:00:00</v>
          </cell>
          <cell r="E12" t="str">
            <v>00:00:00</v>
          </cell>
          <cell r="F12" t="str">
            <v>00:00:00</v>
          </cell>
          <cell r="G12" t="str">
            <v>00:00:00</v>
          </cell>
          <cell r="H12" t="str">
            <v>00:00:00</v>
          </cell>
          <cell r="I12" t="str">
            <v>01:09:15</v>
          </cell>
        </row>
        <row r="13">
          <cell r="A13" t="str">
            <v>Mum_Anoop Raj (1008523)</v>
          </cell>
          <cell r="B13" t="str">
            <v>00:39:05</v>
          </cell>
          <cell r="C13" t="str">
            <v>00:29:59</v>
          </cell>
          <cell r="D13" t="str">
            <v>00:00:00</v>
          </cell>
          <cell r="E13" t="str">
            <v>01:05:04</v>
          </cell>
          <cell r="F13" t="str">
            <v>00:30:24</v>
          </cell>
          <cell r="G13" t="str">
            <v>00:12:32</v>
          </cell>
          <cell r="H13" t="str">
            <v>00:00:00</v>
          </cell>
          <cell r="I13" t="str">
            <v>03:01:18</v>
          </cell>
        </row>
        <row r="14">
          <cell r="A14" t="str">
            <v>Mum_Anubhuti Gupta (1008524)</v>
          </cell>
          <cell r="B14" t="str">
            <v>00:39:06</v>
          </cell>
          <cell r="C14" t="str">
            <v>00:25:25</v>
          </cell>
          <cell r="D14" t="str">
            <v>00:00:00</v>
          </cell>
          <cell r="E14" t="str">
            <v>01:01:32</v>
          </cell>
          <cell r="F14" t="str">
            <v>00:00:00</v>
          </cell>
          <cell r="G14" t="str">
            <v>00:00:00</v>
          </cell>
          <cell r="H14" t="str">
            <v>00:00:00</v>
          </cell>
          <cell r="I14" t="str">
            <v>02:06:41</v>
          </cell>
        </row>
        <row r="15">
          <cell r="A15" t="str">
            <v>Mum_Arun Kumar (1008525)</v>
          </cell>
          <cell r="B15" t="str">
            <v>00:43:00</v>
          </cell>
          <cell r="C15" t="str">
            <v>00:27:13</v>
          </cell>
          <cell r="D15" t="str">
            <v>00:00:00</v>
          </cell>
          <cell r="E15" t="str">
            <v>00:00:00</v>
          </cell>
          <cell r="F15" t="str">
            <v>00:00:00</v>
          </cell>
          <cell r="G15" t="str">
            <v>00:00:00</v>
          </cell>
          <cell r="H15" t="str">
            <v>00:00:00</v>
          </cell>
          <cell r="I15" t="str">
            <v>01:10:34</v>
          </cell>
        </row>
        <row r="16">
          <cell r="A16" t="str">
            <v>Mum_Ashish Kumar (1008526)</v>
          </cell>
          <cell r="B16" t="str">
            <v>00:37:37</v>
          </cell>
          <cell r="C16" t="str">
            <v>00:29:49</v>
          </cell>
          <cell r="D16" t="str">
            <v>00:00:00</v>
          </cell>
          <cell r="E16" t="str">
            <v>00:00:00</v>
          </cell>
          <cell r="F16" t="str">
            <v>00:00:00</v>
          </cell>
          <cell r="G16" t="str">
            <v>00:08:43</v>
          </cell>
          <cell r="H16" t="str">
            <v>00:00:00</v>
          </cell>
          <cell r="I16" t="str">
            <v>01:16:59</v>
          </cell>
        </row>
        <row r="17">
          <cell r="A17" t="str">
            <v>Mum_Ashok Kumar (1008527)</v>
          </cell>
          <cell r="B17" t="str">
            <v>00:42:06</v>
          </cell>
          <cell r="C17" t="str">
            <v>00:15:56</v>
          </cell>
          <cell r="D17" t="str">
            <v>01:25:31</v>
          </cell>
          <cell r="E17" t="str">
            <v>00:00:00</v>
          </cell>
          <cell r="F17" t="str">
            <v>00:00:00</v>
          </cell>
          <cell r="G17" t="str">
            <v>00:00:00</v>
          </cell>
          <cell r="H17" t="str">
            <v>00:00:00</v>
          </cell>
          <cell r="I17" t="str">
            <v>02:24:20</v>
          </cell>
        </row>
        <row r="18">
          <cell r="A18" t="str">
            <v>Hyd_Ashok Kumar (1008528)</v>
          </cell>
          <cell r="B18" t="str">
            <v>00:39:10</v>
          </cell>
          <cell r="C18" t="str">
            <v>00:13:03</v>
          </cell>
          <cell r="D18" t="str">
            <v>00:00:00</v>
          </cell>
          <cell r="E18" t="str">
            <v>00:00:00</v>
          </cell>
          <cell r="F18" t="str">
            <v>00:00:00</v>
          </cell>
          <cell r="G18" t="str">
            <v>00:00:00</v>
          </cell>
          <cell r="H18" t="str">
            <v>00:00:00</v>
          </cell>
          <cell r="I18" t="str">
            <v>00:56:29</v>
          </cell>
        </row>
        <row r="19">
          <cell r="A19" t="str">
            <v>Hyd_Ashok Kumar (1008529)</v>
          </cell>
          <cell r="B19" t="str">
            <v>00:39:57</v>
          </cell>
          <cell r="C19" t="str">
            <v>00:29:58</v>
          </cell>
          <cell r="D19" t="str">
            <v>00:00:00</v>
          </cell>
          <cell r="E19" t="str">
            <v>00:00:00</v>
          </cell>
          <cell r="F19" t="str">
            <v>00:00:00</v>
          </cell>
          <cell r="G19" t="str">
            <v>00:00:00</v>
          </cell>
          <cell r="H19" t="str">
            <v>00:00:00</v>
          </cell>
          <cell r="I19" t="str">
            <v>01:10:07</v>
          </cell>
        </row>
        <row r="20">
          <cell r="A20" t="str">
            <v>Hyd_Ashok Kumar (1008530)</v>
          </cell>
          <cell r="B20" t="str">
            <v>00:39:11</v>
          </cell>
          <cell r="C20" t="str">
            <v>00:27:21</v>
          </cell>
          <cell r="D20" t="str">
            <v>00:00:00</v>
          </cell>
          <cell r="E20" t="str">
            <v>00:59:58</v>
          </cell>
          <cell r="F20" t="str">
            <v>00:31:07</v>
          </cell>
          <cell r="G20" t="str">
            <v>00:00:00</v>
          </cell>
          <cell r="H20" t="str">
            <v>00:00:00</v>
          </cell>
          <cell r="I20" t="str">
            <v>02:40:10</v>
          </cell>
        </row>
        <row r="21">
          <cell r="A21" t="str">
            <v>Hyd_Ashok Mahto (1008531)</v>
          </cell>
          <cell r="B21" t="str">
            <v>00:40:20</v>
          </cell>
          <cell r="C21" t="str">
            <v>00:30:39</v>
          </cell>
          <cell r="D21" t="str">
            <v>00:00:00</v>
          </cell>
          <cell r="E21" t="str">
            <v>00:00:00</v>
          </cell>
          <cell r="F21" t="str">
            <v>00:00:00</v>
          </cell>
          <cell r="G21" t="str">
            <v>00:01:30</v>
          </cell>
          <cell r="H21" t="str">
            <v>00:00:00</v>
          </cell>
          <cell r="I21" t="str">
            <v>01:14:30</v>
          </cell>
        </row>
        <row r="22">
          <cell r="A22" t="str">
            <v>Hyd_Atul Kumar (1008532)</v>
          </cell>
          <cell r="B22" t="str">
            <v>00:39:29</v>
          </cell>
          <cell r="C22" t="str">
            <v>00:27:03</v>
          </cell>
          <cell r="D22" t="str">
            <v>00:00:00</v>
          </cell>
          <cell r="E22" t="str">
            <v>00:00:00</v>
          </cell>
          <cell r="F22" t="str">
            <v>00:00:00</v>
          </cell>
          <cell r="G22" t="str">
            <v>00:00:00</v>
          </cell>
          <cell r="H22" t="str">
            <v>00:00:00</v>
          </cell>
          <cell r="I22" t="str">
            <v>01:06:59</v>
          </cell>
        </row>
        <row r="23">
          <cell r="A23" t="str">
            <v>Hyd_Azam (1008533)</v>
          </cell>
          <cell r="B23" t="str">
            <v>00:39:37</v>
          </cell>
          <cell r="C23" t="str">
            <v>00:29:04</v>
          </cell>
          <cell r="D23" t="str">
            <v>00:00:00</v>
          </cell>
          <cell r="E23" t="str">
            <v>00:00:00</v>
          </cell>
          <cell r="F23" t="str">
            <v>00:00:00</v>
          </cell>
          <cell r="G23" t="str">
            <v>00:00:00</v>
          </cell>
          <cell r="H23" t="str">
            <v>00:00:00</v>
          </cell>
          <cell r="I23" t="str">
            <v>01:09:47</v>
          </cell>
        </row>
        <row r="24">
          <cell r="A24" t="str">
            <v>Hyd_Bhagwat Singh (1008534)</v>
          </cell>
          <cell r="B24" t="str">
            <v>00:40:00</v>
          </cell>
          <cell r="C24" t="str">
            <v>00:30:03</v>
          </cell>
          <cell r="D24" t="str">
            <v>00:59:16</v>
          </cell>
          <cell r="E24" t="str">
            <v>00:00:00</v>
          </cell>
          <cell r="F24" t="str">
            <v>00:00:00</v>
          </cell>
          <cell r="G24" t="str">
            <v>00:00:00</v>
          </cell>
          <cell r="H24" t="str">
            <v>00:00:00</v>
          </cell>
          <cell r="I24" t="str">
            <v>02:10:18</v>
          </cell>
        </row>
        <row r="25">
          <cell r="A25" t="str">
            <v>Hyd_Bindu Nair (1008535)</v>
          </cell>
          <cell r="B25" t="str">
            <v>00:39:50</v>
          </cell>
          <cell r="C25" t="str">
            <v>00:30:09</v>
          </cell>
          <cell r="D25" t="str">
            <v>00:00:00</v>
          </cell>
          <cell r="E25" t="str">
            <v>01:01:05</v>
          </cell>
          <cell r="F25" t="str">
            <v>00:00:00</v>
          </cell>
          <cell r="G25" t="str">
            <v>00:00:00</v>
          </cell>
          <cell r="H25" t="str">
            <v>00:00:00</v>
          </cell>
          <cell r="I25" t="str">
            <v>02:11:17</v>
          </cell>
        </row>
        <row r="26">
          <cell r="A26" t="str">
            <v>Hyd_Daleep Singh (1008536)</v>
          </cell>
          <cell r="B26" t="str">
            <v>00:39:28</v>
          </cell>
          <cell r="C26" t="str">
            <v>00:26:22</v>
          </cell>
          <cell r="D26" t="str">
            <v>00:00:00</v>
          </cell>
          <cell r="E26" t="str">
            <v>00:00:00</v>
          </cell>
          <cell r="F26" t="str">
            <v>00:00:00</v>
          </cell>
          <cell r="G26" t="str">
            <v>00:00:00</v>
          </cell>
          <cell r="H26" t="str">
            <v>00:00:00</v>
          </cell>
          <cell r="I26" t="str">
            <v>01:12:54</v>
          </cell>
        </row>
        <row r="27">
          <cell r="A27" t="str">
            <v>Hyd_Deepak Kumar (1008537)</v>
          </cell>
          <cell r="B27" t="str">
            <v>00:00:00</v>
          </cell>
          <cell r="C27" t="str">
            <v>00:28:49</v>
          </cell>
          <cell r="D27" t="str">
            <v>00:00:00</v>
          </cell>
          <cell r="E27" t="str">
            <v>00:00:00</v>
          </cell>
          <cell r="F27" t="str">
            <v>00:00:00</v>
          </cell>
          <cell r="G27" t="str">
            <v>00:00:00</v>
          </cell>
          <cell r="H27" t="str">
            <v>00:00:00</v>
          </cell>
          <cell r="I27" t="str">
            <v>00:30:30</v>
          </cell>
        </row>
        <row r="28">
          <cell r="A28" t="str">
            <v>Hyd_Deepika Nigam (1008538)</v>
          </cell>
          <cell r="B28" t="str">
            <v>00:39:54</v>
          </cell>
          <cell r="C28" t="str">
            <v>00:29:57</v>
          </cell>
          <cell r="D28" t="str">
            <v>00:00:00</v>
          </cell>
          <cell r="E28" t="str">
            <v>00:00:00</v>
          </cell>
          <cell r="F28" t="str">
            <v>00:00:00</v>
          </cell>
          <cell r="G28" t="str">
            <v>00:00:00</v>
          </cell>
          <cell r="H28" t="str">
            <v>00:00:00</v>
          </cell>
          <cell r="I28" t="str">
            <v>01:11:40</v>
          </cell>
        </row>
        <row r="29">
          <cell r="A29" t="str">
            <v>Hyd_Dinesh Kumar (1008539)</v>
          </cell>
          <cell r="B29" t="str">
            <v>00:40:10</v>
          </cell>
          <cell r="C29" t="str">
            <v>00:29:29</v>
          </cell>
          <cell r="D29" t="str">
            <v>00:00:00</v>
          </cell>
          <cell r="E29" t="str">
            <v>00:00:00</v>
          </cell>
          <cell r="F29" t="str">
            <v>00:00:00</v>
          </cell>
          <cell r="G29" t="str">
            <v>00:00:00</v>
          </cell>
          <cell r="H29" t="str">
            <v>00:00:00</v>
          </cell>
          <cell r="I29" t="str">
            <v>01:10:03</v>
          </cell>
        </row>
        <row r="30">
          <cell r="A30" t="str">
            <v>Hyd_Hari Kumar (1008540)</v>
          </cell>
          <cell r="B30" t="str">
            <v>00:40:56</v>
          </cell>
          <cell r="C30" t="str">
            <v>00:31:30</v>
          </cell>
          <cell r="D30" t="str">
            <v>00:00:00</v>
          </cell>
          <cell r="E30" t="str">
            <v>00:59:59</v>
          </cell>
          <cell r="F30" t="str">
            <v>00:31:59</v>
          </cell>
          <cell r="G30" t="str">
            <v>00:00:00</v>
          </cell>
          <cell r="H30" t="str">
            <v>00:00:00</v>
          </cell>
          <cell r="I30" t="str">
            <v>02:44:52</v>
          </cell>
        </row>
        <row r="31">
          <cell r="A31" t="str">
            <v>Hyd_Heeramani Choudhary (1008541)</v>
          </cell>
          <cell r="B31" t="str">
            <v>00:00:00</v>
          </cell>
          <cell r="C31" t="str">
            <v>00:30:00</v>
          </cell>
          <cell r="D31" t="str">
            <v>00:00:00</v>
          </cell>
          <cell r="E31" t="str">
            <v>00:00:00</v>
          </cell>
          <cell r="F31" t="str">
            <v>00:25:55</v>
          </cell>
          <cell r="G31" t="str">
            <v>00:08:29</v>
          </cell>
          <cell r="H31" t="str">
            <v>00:00:00</v>
          </cell>
          <cell r="I31" t="str">
            <v>01:20:20</v>
          </cell>
        </row>
        <row r="32">
          <cell r="A32" t="str">
            <v>Hyd_Indra Pal (1008542)</v>
          </cell>
          <cell r="B32" t="str">
            <v>00:39:50</v>
          </cell>
          <cell r="C32" t="str">
            <v>00:29:16</v>
          </cell>
          <cell r="D32" t="str">
            <v>00:00:00</v>
          </cell>
          <cell r="E32" t="str">
            <v>00:00:00</v>
          </cell>
          <cell r="F32" t="str">
            <v>00:00:00</v>
          </cell>
          <cell r="G32" t="str">
            <v>00:00:00</v>
          </cell>
          <cell r="H32" t="str">
            <v>00:00:00</v>
          </cell>
          <cell r="I32" t="str">
            <v>01:09:15</v>
          </cell>
        </row>
        <row r="33">
          <cell r="A33" t="str">
            <v>Hyd_Indra Singh (1008543)</v>
          </cell>
          <cell r="B33" t="str">
            <v>00:39:19</v>
          </cell>
          <cell r="C33" t="str">
            <v>00:28:23</v>
          </cell>
          <cell r="D33" t="str">
            <v>00:00:00</v>
          </cell>
          <cell r="E33" t="str">
            <v>01:01:07</v>
          </cell>
          <cell r="F33" t="str">
            <v>00:00:00</v>
          </cell>
          <cell r="G33" t="str">
            <v>00:00:00</v>
          </cell>
          <cell r="H33" t="str">
            <v>00:00:00</v>
          </cell>
          <cell r="I33" t="str">
            <v>02:09:14</v>
          </cell>
        </row>
        <row r="34">
          <cell r="A34" t="str">
            <v>Hyd_Jagdish Chandra (1008544)</v>
          </cell>
          <cell r="B34" t="str">
            <v>00:42:06</v>
          </cell>
          <cell r="C34" t="str">
            <v>00:26:41</v>
          </cell>
          <cell r="D34" t="str">
            <v>00:00:00</v>
          </cell>
          <cell r="E34" t="str">
            <v>00:00:00</v>
          </cell>
          <cell r="F34" t="str">
            <v>00:00:00</v>
          </cell>
          <cell r="G34" t="str">
            <v>00:00:00</v>
          </cell>
          <cell r="H34" t="str">
            <v>00:00:00</v>
          </cell>
          <cell r="I34" t="str">
            <v>01:09:03</v>
          </cell>
        </row>
        <row r="35">
          <cell r="A35" t="str">
            <v>Hyd_Jairaj Vatham (1008545)</v>
          </cell>
          <cell r="B35" t="str">
            <v>00:39:09</v>
          </cell>
          <cell r="C35" t="str">
            <v>00:29:05</v>
          </cell>
          <cell r="D35" t="str">
            <v>00:00:00</v>
          </cell>
          <cell r="E35" t="str">
            <v>00:00:00</v>
          </cell>
          <cell r="F35" t="str">
            <v>00:00:00</v>
          </cell>
          <cell r="G35" t="str">
            <v>00:00:00</v>
          </cell>
          <cell r="H35" t="str">
            <v>00:00:00</v>
          </cell>
          <cell r="I35" t="str">
            <v>01:09:56</v>
          </cell>
        </row>
        <row r="36">
          <cell r="A36" t="str">
            <v>Hyd_Janardan Mishra (1008546)</v>
          </cell>
          <cell r="B36" t="str">
            <v>00:00:00</v>
          </cell>
          <cell r="C36" t="str">
            <v>00:25:16</v>
          </cell>
          <cell r="D36" t="str">
            <v>00:59:55</v>
          </cell>
          <cell r="E36" t="str">
            <v>00:00:00</v>
          </cell>
          <cell r="F36" t="str">
            <v>00:00:00</v>
          </cell>
          <cell r="G36" t="str">
            <v>00:00:00</v>
          </cell>
          <cell r="H36" t="str">
            <v>00:00:00</v>
          </cell>
          <cell r="I36" t="str">
            <v>01:28:09</v>
          </cell>
        </row>
        <row r="37">
          <cell r="A37" t="str">
            <v>Hyd_Jitendra Kumar (1008547)</v>
          </cell>
          <cell r="B37" t="str">
            <v>00:39:30</v>
          </cell>
          <cell r="C37" t="str">
            <v>00:29:15</v>
          </cell>
          <cell r="D37" t="str">
            <v>00:00:00</v>
          </cell>
          <cell r="E37" t="str">
            <v>00:57:43</v>
          </cell>
          <cell r="F37" t="str">
            <v>00:28:19</v>
          </cell>
          <cell r="G37" t="str">
            <v>00:00:00</v>
          </cell>
          <cell r="H37" t="str">
            <v>00:00:00</v>
          </cell>
          <cell r="I37" t="str">
            <v>02:35:12</v>
          </cell>
        </row>
        <row r="38">
          <cell r="A38" t="str">
            <v>Hyd_John D'Costa (1008548)</v>
          </cell>
          <cell r="B38" t="str">
            <v>00:39:48</v>
          </cell>
          <cell r="C38" t="str">
            <v>00:29:36</v>
          </cell>
          <cell r="D38" t="str">
            <v>00:00:00</v>
          </cell>
          <cell r="E38" t="str">
            <v>00:00:00</v>
          </cell>
          <cell r="F38" t="str">
            <v>00:00:00</v>
          </cell>
          <cell r="G38" t="str">
            <v>00:00:00</v>
          </cell>
          <cell r="H38" t="str">
            <v>00:00:00</v>
          </cell>
          <cell r="I38" t="str">
            <v>01:09:36</v>
          </cell>
        </row>
        <row r="39">
          <cell r="A39" t="str">
            <v>Hyd_Julie S (1008549)</v>
          </cell>
          <cell r="B39" t="str">
            <v>00:39:56</v>
          </cell>
          <cell r="C39" t="str">
            <v>00:29:49</v>
          </cell>
          <cell r="D39" t="str">
            <v>00:00:00</v>
          </cell>
          <cell r="E39" t="str">
            <v>00:00:00</v>
          </cell>
          <cell r="F39" t="str">
            <v>00:00:00</v>
          </cell>
          <cell r="G39" t="str">
            <v>00:00:00</v>
          </cell>
          <cell r="H39" t="str">
            <v>00:00:00</v>
          </cell>
          <cell r="I39" t="str">
            <v>01:10:44</v>
          </cell>
        </row>
        <row r="40">
          <cell r="A40" t="str">
            <v>Hyd_Jyoti Tulsani (1008550)</v>
          </cell>
          <cell r="B40" t="str">
            <v>00:39:45</v>
          </cell>
          <cell r="C40" t="str">
            <v>00:29:47</v>
          </cell>
          <cell r="D40" t="str">
            <v>00:00:00</v>
          </cell>
          <cell r="E40" t="str">
            <v>00:00:00</v>
          </cell>
          <cell r="F40" t="str">
            <v>00:00:00</v>
          </cell>
          <cell r="G40" t="str">
            <v>00:00:00</v>
          </cell>
          <cell r="H40" t="str">
            <v>00:00:00</v>
          </cell>
          <cell r="I40" t="str">
            <v>01:10:27</v>
          </cell>
        </row>
        <row r="41">
          <cell r="A41" t="str">
            <v>Hyd_Kahkasha Parveen (1008551)</v>
          </cell>
          <cell r="B41" t="str">
            <v>00:41:56</v>
          </cell>
          <cell r="C41" t="str">
            <v>00:28:08</v>
          </cell>
          <cell r="D41" t="str">
            <v>00:00:00</v>
          </cell>
          <cell r="E41" t="str">
            <v>00:00:00</v>
          </cell>
          <cell r="F41" t="str">
            <v>00:00:00</v>
          </cell>
          <cell r="G41" t="str">
            <v>00:00:00</v>
          </cell>
          <cell r="H41" t="str">
            <v>00:00:00</v>
          </cell>
          <cell r="I41" t="str">
            <v>01:10:12</v>
          </cell>
        </row>
        <row r="42">
          <cell r="A42" t="str">
            <v>Hyd_Kailash Nath (1008552)</v>
          </cell>
          <cell r="B42" t="str">
            <v>00:38:04</v>
          </cell>
          <cell r="C42" t="str">
            <v>00:28:33</v>
          </cell>
          <cell r="D42" t="str">
            <v>00:00:00</v>
          </cell>
          <cell r="E42" t="str">
            <v>00:00:00</v>
          </cell>
          <cell r="F42" t="str">
            <v>00:00:00</v>
          </cell>
          <cell r="G42" t="str">
            <v>00:00:00</v>
          </cell>
          <cell r="H42" t="str">
            <v>00:00:00</v>
          </cell>
          <cell r="I42" t="str">
            <v>01:07:40</v>
          </cell>
        </row>
        <row r="43">
          <cell r="A43" t="str">
            <v>Hyd_Kalpana Agrawal (1008553)</v>
          </cell>
          <cell r="B43" t="str">
            <v>00:32:59</v>
          </cell>
          <cell r="C43" t="str">
            <v>00:32:50</v>
          </cell>
          <cell r="D43" t="str">
            <v>00:00:00</v>
          </cell>
          <cell r="E43" t="str">
            <v>00:00:00</v>
          </cell>
          <cell r="F43" t="str">
            <v>01:17:58</v>
          </cell>
          <cell r="G43" t="str">
            <v>00:00:00</v>
          </cell>
          <cell r="H43" t="str">
            <v>00:00:00</v>
          </cell>
          <cell r="I43" t="str">
            <v>02:24:54</v>
          </cell>
        </row>
        <row r="44">
          <cell r="A44" t="str">
            <v>Hyd_Kamini Kumar (1008554)</v>
          </cell>
          <cell r="B44" t="str">
            <v>00:00:00</v>
          </cell>
          <cell r="C44" t="str">
            <v>00:14:51</v>
          </cell>
          <cell r="D44" t="str">
            <v>00:00:00</v>
          </cell>
          <cell r="E44" t="str">
            <v>00:00:00</v>
          </cell>
          <cell r="F44" t="str">
            <v>00:00:00</v>
          </cell>
          <cell r="G44" t="str">
            <v>00:00:00</v>
          </cell>
          <cell r="H44" t="str">
            <v>00:00:00</v>
          </cell>
          <cell r="I44" t="str">
            <v>00:15:00</v>
          </cell>
        </row>
        <row r="45">
          <cell r="A45" t="str">
            <v>Hyd_Kamini Tiwari (1008555)</v>
          </cell>
          <cell r="B45" t="str">
            <v>00:36:12</v>
          </cell>
          <cell r="C45" t="str">
            <v>00:29:58</v>
          </cell>
          <cell r="D45" t="str">
            <v>00:00:00</v>
          </cell>
          <cell r="E45" t="str">
            <v>00:00:00</v>
          </cell>
          <cell r="F45" t="str">
            <v>00:00:00</v>
          </cell>
          <cell r="G45" t="str">
            <v>00:02:34</v>
          </cell>
          <cell r="H45" t="str">
            <v>00:00:00</v>
          </cell>
          <cell r="I45" t="str">
            <v>01:09:45</v>
          </cell>
        </row>
        <row r="46">
          <cell r="A46" t="str">
            <v>Hyd_Kavita Sharma (1008556)</v>
          </cell>
          <cell r="B46" t="str">
            <v>00:22:27</v>
          </cell>
          <cell r="C46" t="str">
            <v>00:32:36</v>
          </cell>
          <cell r="D46" t="str">
            <v>00:00:00</v>
          </cell>
          <cell r="E46" t="str">
            <v>00:00:00</v>
          </cell>
          <cell r="F46" t="str">
            <v>00:00:00</v>
          </cell>
          <cell r="G46" t="str">
            <v>00:00:00</v>
          </cell>
          <cell r="H46" t="str">
            <v>00:00:00</v>
          </cell>
          <cell r="I46" t="str">
            <v>00:56:19</v>
          </cell>
        </row>
        <row r="47">
          <cell r="A47" t="str">
            <v>Hyd_Kiran Khubchandani (1008557)</v>
          </cell>
          <cell r="B47" t="str">
            <v>00:39:52</v>
          </cell>
          <cell r="C47" t="str">
            <v>00:29:53</v>
          </cell>
          <cell r="D47" t="str">
            <v>01:00:11</v>
          </cell>
          <cell r="E47" t="str">
            <v>00:00:00</v>
          </cell>
          <cell r="F47" t="str">
            <v>00:00:00</v>
          </cell>
          <cell r="G47" t="str">
            <v>00:00:00</v>
          </cell>
          <cell r="H47" t="str">
            <v>00:00:00</v>
          </cell>
          <cell r="I47" t="str">
            <v>02:10:24</v>
          </cell>
        </row>
        <row r="48">
          <cell r="A48" t="str">
            <v>Hyd_Kisun Sah (1008558)</v>
          </cell>
          <cell r="B48" t="str">
            <v>00:39:19</v>
          </cell>
          <cell r="C48" t="str">
            <v>00:29:53</v>
          </cell>
          <cell r="D48" t="str">
            <v>00:00:00</v>
          </cell>
          <cell r="E48" t="str">
            <v>00:00:00</v>
          </cell>
          <cell r="F48" t="str">
            <v>00:00:00</v>
          </cell>
          <cell r="G48" t="str">
            <v>00:00:00</v>
          </cell>
          <cell r="H48" t="str">
            <v>00:00:00</v>
          </cell>
          <cell r="I48" t="str">
            <v>01:09:28</v>
          </cell>
        </row>
        <row r="49">
          <cell r="A49" t="str">
            <v>Hyd_Krishana Kumar (1008559)</v>
          </cell>
          <cell r="B49" t="str">
            <v>00:39:57</v>
          </cell>
          <cell r="C49" t="str">
            <v>00:29:39</v>
          </cell>
          <cell r="D49" t="str">
            <v>00:00:00</v>
          </cell>
          <cell r="E49" t="str">
            <v>00:00:00</v>
          </cell>
          <cell r="F49" t="str">
            <v>00:00:00</v>
          </cell>
          <cell r="G49" t="str">
            <v>00:00:00</v>
          </cell>
          <cell r="H49" t="str">
            <v>00:00:00</v>
          </cell>
          <cell r="I49" t="str">
            <v>01:09:45</v>
          </cell>
        </row>
        <row r="50">
          <cell r="A50" t="str">
            <v>Hyd_Kunj Bihari (1008560)</v>
          </cell>
          <cell r="B50" t="str">
            <v>00:40:00</v>
          </cell>
          <cell r="C50" t="str">
            <v>00:30:01</v>
          </cell>
          <cell r="D50" t="str">
            <v>00:00:00</v>
          </cell>
          <cell r="E50" t="str">
            <v>00:00:00</v>
          </cell>
          <cell r="F50" t="str">
            <v>00:00:00</v>
          </cell>
          <cell r="G50" t="str">
            <v>00:00:00</v>
          </cell>
          <cell r="H50" t="str">
            <v>00:00:00</v>
          </cell>
          <cell r="I50" t="str">
            <v>01:10:11</v>
          </cell>
        </row>
        <row r="51">
          <cell r="A51" t="str">
            <v>Hyd_Leena George (1008561)</v>
          </cell>
          <cell r="B51" t="str">
            <v>00:00:00</v>
          </cell>
          <cell r="C51" t="str">
            <v>00:15:12</v>
          </cell>
          <cell r="D51" t="str">
            <v>00:00:00</v>
          </cell>
          <cell r="E51" t="str">
            <v>00:00:00</v>
          </cell>
          <cell r="F51" t="str">
            <v>00:00:00</v>
          </cell>
          <cell r="G51" t="str">
            <v>00:02:41</v>
          </cell>
          <cell r="H51" t="str">
            <v>00:00:00</v>
          </cell>
          <cell r="I51" t="str">
            <v>00:18:10</v>
          </cell>
        </row>
        <row r="52">
          <cell r="A52" t="str">
            <v>Hyd_Lilly Lucy (1008562)</v>
          </cell>
          <cell r="B52" t="str">
            <v>00:20:52</v>
          </cell>
          <cell r="C52" t="str">
            <v>00:30:04</v>
          </cell>
          <cell r="D52" t="str">
            <v>00:00:00</v>
          </cell>
          <cell r="E52" t="str">
            <v>00:00:00</v>
          </cell>
          <cell r="F52" t="str">
            <v>00:00:00</v>
          </cell>
          <cell r="G52" t="str">
            <v>00:23:27</v>
          </cell>
          <cell r="H52" t="str">
            <v>00:00:00</v>
          </cell>
          <cell r="I52" t="str">
            <v>01:14:44</v>
          </cell>
        </row>
        <row r="53">
          <cell r="A53" t="str">
            <v>Hyd_Mangal Singh (1008563)</v>
          </cell>
          <cell r="B53" t="str">
            <v>00:39:59</v>
          </cell>
          <cell r="C53" t="str">
            <v>00:29:57</v>
          </cell>
          <cell r="D53" t="str">
            <v>00:00:00</v>
          </cell>
          <cell r="E53" t="str">
            <v>00:00:00</v>
          </cell>
          <cell r="F53" t="str">
            <v>00:00:00</v>
          </cell>
          <cell r="G53" t="str">
            <v>00:00:00</v>
          </cell>
          <cell r="H53" t="str">
            <v>00:00:00</v>
          </cell>
          <cell r="I53" t="str">
            <v>01:10:04</v>
          </cell>
        </row>
        <row r="54">
          <cell r="A54" t="str">
            <v>Hyd_Manisha Shrivastava (1008564)</v>
          </cell>
          <cell r="B54" t="str">
            <v>00:39:58</v>
          </cell>
          <cell r="C54" t="str">
            <v>00:29:58</v>
          </cell>
          <cell r="D54" t="str">
            <v>00:00:00</v>
          </cell>
          <cell r="E54" t="str">
            <v>00:00:00</v>
          </cell>
          <cell r="F54" t="str">
            <v>00:00:00</v>
          </cell>
          <cell r="G54" t="str">
            <v>00:00:00</v>
          </cell>
          <cell r="H54" t="str">
            <v>00:00:00</v>
          </cell>
          <cell r="I54" t="str">
            <v>01:10:09</v>
          </cell>
        </row>
        <row r="55">
          <cell r="A55" t="str">
            <v>Hyd_Manjusha Sinha (1008565)</v>
          </cell>
          <cell r="B55" t="str">
            <v>00:44:30</v>
          </cell>
          <cell r="C55" t="str">
            <v>00:25:13</v>
          </cell>
          <cell r="D55" t="str">
            <v>00:00:00</v>
          </cell>
          <cell r="E55" t="str">
            <v>00:00:00</v>
          </cell>
          <cell r="F55" t="str">
            <v>00:00:00</v>
          </cell>
          <cell r="G55" t="str">
            <v>00:00:00</v>
          </cell>
          <cell r="H55" t="str">
            <v>00:00:00</v>
          </cell>
          <cell r="I55" t="str">
            <v>01:10:39</v>
          </cell>
        </row>
        <row r="56">
          <cell r="A56" t="str">
            <v>Hyd_ManjuTiwari Lab (1008566)</v>
          </cell>
          <cell r="B56" t="str">
            <v>00:39:42</v>
          </cell>
          <cell r="C56" t="str">
            <v>00:30:06</v>
          </cell>
          <cell r="D56" t="str">
            <v>00:00:00</v>
          </cell>
          <cell r="E56" t="str">
            <v>00:00:00</v>
          </cell>
          <cell r="F56" t="str">
            <v>00:00:00</v>
          </cell>
          <cell r="G56" t="str">
            <v>00:00:00</v>
          </cell>
          <cell r="H56" t="str">
            <v>00:00:00</v>
          </cell>
          <cell r="I56" t="str">
            <v>01:10:46</v>
          </cell>
        </row>
        <row r="57">
          <cell r="A57" t="str">
            <v>Hyd_Manoj Kumar (1008567)</v>
          </cell>
          <cell r="B57" t="str">
            <v>00:39:54</v>
          </cell>
          <cell r="C57" t="str">
            <v>00:29:53</v>
          </cell>
          <cell r="D57" t="str">
            <v>00:00:00</v>
          </cell>
          <cell r="E57" t="str">
            <v>00:00:00</v>
          </cell>
          <cell r="F57" t="str">
            <v>00:00:00</v>
          </cell>
          <cell r="G57" t="str">
            <v>00:00:00</v>
          </cell>
          <cell r="H57" t="str">
            <v>00:00:00</v>
          </cell>
          <cell r="I57" t="str">
            <v>01:09:53</v>
          </cell>
        </row>
        <row r="58">
          <cell r="A58" t="str">
            <v>Hyd_Manoj Kumar (1008568)</v>
          </cell>
          <cell r="B58" t="str">
            <v>00:39:56</v>
          </cell>
          <cell r="C58" t="str">
            <v>00:29:53</v>
          </cell>
          <cell r="D58" t="str">
            <v>00:00:00</v>
          </cell>
          <cell r="E58" t="str">
            <v>00:00:00</v>
          </cell>
          <cell r="F58" t="str">
            <v>00:00:00</v>
          </cell>
          <cell r="G58" t="str">
            <v>00:00:00</v>
          </cell>
          <cell r="H58" t="str">
            <v>00:00:00</v>
          </cell>
          <cell r="I58" t="str">
            <v>01:15:59</v>
          </cell>
        </row>
        <row r="59">
          <cell r="A59" t="str">
            <v>Hyd_Masroor Adil (1008569)</v>
          </cell>
          <cell r="B59" t="str">
            <v>00:39:55</v>
          </cell>
          <cell r="C59" t="str">
            <v>00:29:46</v>
          </cell>
          <cell r="D59" t="str">
            <v>00:00:00</v>
          </cell>
          <cell r="E59" t="str">
            <v>00:00:00</v>
          </cell>
          <cell r="F59" t="str">
            <v>00:00:00</v>
          </cell>
          <cell r="G59" t="str">
            <v>00:00:00</v>
          </cell>
          <cell r="H59" t="str">
            <v>00:00:00</v>
          </cell>
          <cell r="I59" t="str">
            <v>01:11:39</v>
          </cell>
        </row>
        <row r="60">
          <cell r="A60" t="str">
            <v>Hyd_Meena Zinjare (1008570)</v>
          </cell>
          <cell r="B60" t="str">
            <v>00:41:13</v>
          </cell>
          <cell r="C60" t="str">
            <v>00:30:01</v>
          </cell>
          <cell r="D60" t="str">
            <v>00:00:00</v>
          </cell>
          <cell r="E60" t="str">
            <v>01:06:34</v>
          </cell>
          <cell r="F60" t="str">
            <v>01:16:39</v>
          </cell>
          <cell r="G60" t="str">
            <v>00:00:00</v>
          </cell>
          <cell r="H60" t="str">
            <v>00:00:00</v>
          </cell>
          <cell r="I60" t="str">
            <v>03:34:45</v>
          </cell>
        </row>
        <row r="61">
          <cell r="A61" t="str">
            <v>Hyd_Mehnaz Khan (1008571)</v>
          </cell>
          <cell r="B61" t="str">
            <v>00:39:57</v>
          </cell>
          <cell r="C61" t="str">
            <v>00:29:32</v>
          </cell>
          <cell r="D61" t="str">
            <v>00:00:00</v>
          </cell>
          <cell r="E61" t="str">
            <v>00:54:51</v>
          </cell>
          <cell r="F61" t="str">
            <v>00:00:00</v>
          </cell>
          <cell r="G61" t="str">
            <v>00:07:49</v>
          </cell>
          <cell r="H61" t="str">
            <v>00:00:00</v>
          </cell>
          <cell r="I61" t="str">
            <v>02:12:24</v>
          </cell>
        </row>
        <row r="62">
          <cell r="A62" t="str">
            <v>Hyd_Mercy Thampi (1008572)</v>
          </cell>
          <cell r="B62" t="str">
            <v>00:00:00</v>
          </cell>
          <cell r="C62" t="str">
            <v>00:14:48</v>
          </cell>
          <cell r="D62" t="str">
            <v>00:00:00</v>
          </cell>
          <cell r="E62" t="str">
            <v>00:00:00</v>
          </cell>
          <cell r="F62" t="str">
            <v>00:00:00</v>
          </cell>
          <cell r="G62" t="str">
            <v>00:00:00</v>
          </cell>
          <cell r="H62" t="str">
            <v>00:00:00</v>
          </cell>
          <cell r="I62" t="str">
            <v>00:15:35</v>
          </cell>
        </row>
        <row r="63">
          <cell r="A63" t="str">
            <v>Hyd_Miny Mole (1008573)</v>
          </cell>
          <cell r="B63" t="str">
            <v>00:40:00</v>
          </cell>
          <cell r="C63" t="str">
            <v>00:29:59</v>
          </cell>
          <cell r="D63" t="str">
            <v>01:02:58</v>
          </cell>
          <cell r="E63" t="str">
            <v>00:00:00</v>
          </cell>
          <cell r="F63" t="str">
            <v>00:00:00</v>
          </cell>
          <cell r="G63" t="str">
            <v>00:00:00</v>
          </cell>
          <cell r="H63" t="str">
            <v>00:00:00</v>
          </cell>
          <cell r="I63" t="str">
            <v>02:13:07</v>
          </cell>
        </row>
        <row r="64">
          <cell r="A64" t="str">
            <v>Hyd_Mohd Rafi (1008574)</v>
          </cell>
          <cell r="B64" t="str">
            <v>00:39:50</v>
          </cell>
          <cell r="C64" t="str">
            <v>00:30:06</v>
          </cell>
          <cell r="D64" t="str">
            <v>00:00:00</v>
          </cell>
          <cell r="E64" t="str">
            <v>00:57:24</v>
          </cell>
          <cell r="F64" t="str">
            <v>00:30:18</v>
          </cell>
          <cell r="G64" t="str">
            <v>00:00:00</v>
          </cell>
          <cell r="H64" t="str">
            <v>00:00:00</v>
          </cell>
          <cell r="I64" t="str">
            <v>02:38:29</v>
          </cell>
        </row>
        <row r="65">
          <cell r="A65" t="str">
            <v>Hyd_Mubeen Khan (1008575)</v>
          </cell>
          <cell r="B65" t="str">
            <v>00:22:13</v>
          </cell>
          <cell r="C65" t="str">
            <v>00:29:56</v>
          </cell>
          <cell r="D65" t="str">
            <v>00:00:00</v>
          </cell>
          <cell r="E65" t="str">
            <v>00:59:44</v>
          </cell>
          <cell r="F65" t="str">
            <v>00:30:05</v>
          </cell>
          <cell r="G65" t="str">
            <v>00:00:00</v>
          </cell>
          <cell r="H65" t="str">
            <v>00:00:00</v>
          </cell>
          <cell r="I65" t="str">
            <v>02:24:38</v>
          </cell>
        </row>
        <row r="66">
          <cell r="A66" t="str">
            <v>Hyd_Mukesh Nagar (1008576)</v>
          </cell>
          <cell r="B66" t="str">
            <v>00:00:00</v>
          </cell>
          <cell r="C66" t="str">
            <v>00:14:52</v>
          </cell>
          <cell r="D66" t="str">
            <v>00:00:00</v>
          </cell>
          <cell r="E66" t="str">
            <v>00:00:00</v>
          </cell>
          <cell r="F66" t="str">
            <v>00:00:00</v>
          </cell>
          <cell r="G66" t="str">
            <v>00:14:31</v>
          </cell>
          <cell r="H66" t="str">
            <v>00:00:00</v>
          </cell>
          <cell r="I66" t="str">
            <v>00:29:34</v>
          </cell>
        </row>
        <row r="67">
          <cell r="A67" t="str">
            <v>Hyd_Nandu Kumar (1008577)</v>
          </cell>
          <cell r="B67" t="str">
            <v>00:39:48</v>
          </cell>
          <cell r="C67" t="str">
            <v>00:21:10</v>
          </cell>
          <cell r="D67" t="str">
            <v>00:00:00</v>
          </cell>
          <cell r="E67" t="str">
            <v>00:00:00</v>
          </cell>
          <cell r="F67" t="str">
            <v>00:00:00</v>
          </cell>
          <cell r="G67" t="str">
            <v>00:00:00</v>
          </cell>
          <cell r="H67" t="str">
            <v>00:00:00</v>
          </cell>
          <cell r="I67" t="str">
            <v>01:14:03</v>
          </cell>
        </row>
        <row r="68">
          <cell r="A68" t="str">
            <v>Hyd_Narayan Singh (1008578)</v>
          </cell>
          <cell r="B68" t="str">
            <v>00:41:59</v>
          </cell>
          <cell r="C68" t="str">
            <v>00:24:59</v>
          </cell>
          <cell r="D68" t="str">
            <v>00:00:00</v>
          </cell>
          <cell r="E68" t="str">
            <v>00:00:00</v>
          </cell>
          <cell r="F68" t="str">
            <v>00:00:00</v>
          </cell>
          <cell r="G68" t="str">
            <v>00:00:00</v>
          </cell>
          <cell r="H68" t="str">
            <v>00:00:00</v>
          </cell>
          <cell r="I68" t="str">
            <v>01:08:27</v>
          </cell>
        </row>
        <row r="69">
          <cell r="A69" t="str">
            <v>Hyd_Neeraj Saxena (1008579)</v>
          </cell>
          <cell r="B69" t="str">
            <v>00:39:49</v>
          </cell>
          <cell r="C69" t="str">
            <v>00:28:46</v>
          </cell>
          <cell r="D69" t="str">
            <v>01:05:52</v>
          </cell>
          <cell r="E69" t="str">
            <v>00:00:00</v>
          </cell>
          <cell r="F69" t="str">
            <v>00:00:00</v>
          </cell>
          <cell r="G69" t="str">
            <v>00:00:00</v>
          </cell>
          <cell r="H69" t="str">
            <v>00:00:00</v>
          </cell>
          <cell r="I69" t="str">
            <v>02:15:18</v>
          </cell>
        </row>
        <row r="70">
          <cell r="A70" t="str">
            <v>Hyd_Neeru Mehta (1008580)</v>
          </cell>
          <cell r="B70" t="str">
            <v>00:39:59</v>
          </cell>
          <cell r="C70" t="str">
            <v>00:29:55</v>
          </cell>
          <cell r="D70" t="str">
            <v>00:00:00</v>
          </cell>
          <cell r="E70" t="str">
            <v>00:00:00</v>
          </cell>
          <cell r="F70" t="str">
            <v>00:00:00</v>
          </cell>
          <cell r="G70" t="str">
            <v>00:00:00</v>
          </cell>
          <cell r="H70" t="str">
            <v>00:00:00</v>
          </cell>
          <cell r="I70" t="str">
            <v>01:10:03</v>
          </cell>
        </row>
        <row r="71">
          <cell r="A71" t="str">
            <v>Hyd_Nikita Panwalkar (1008581)</v>
          </cell>
          <cell r="B71" t="str">
            <v>00:40:04</v>
          </cell>
          <cell r="C71" t="str">
            <v>00:29:41</v>
          </cell>
          <cell r="D71" t="str">
            <v>00:00:00</v>
          </cell>
          <cell r="E71" t="str">
            <v>00:00:00</v>
          </cell>
          <cell r="F71" t="str">
            <v>00:27:31</v>
          </cell>
          <cell r="G71" t="str">
            <v>00:00:00</v>
          </cell>
          <cell r="H71" t="str">
            <v>00:00:00</v>
          </cell>
          <cell r="I71" t="str">
            <v>01:37:25</v>
          </cell>
        </row>
        <row r="72">
          <cell r="A72" t="str">
            <v>Hyd_Nitin Bhatia (1008582)</v>
          </cell>
          <cell r="B72" t="str">
            <v>00:39:54</v>
          </cell>
          <cell r="C72" t="str">
            <v>00:29:50</v>
          </cell>
          <cell r="D72" t="str">
            <v>00:00:00</v>
          </cell>
          <cell r="E72" t="str">
            <v>00:00:00</v>
          </cell>
          <cell r="F72" t="str">
            <v>00:00:00</v>
          </cell>
          <cell r="G72" t="str">
            <v>00:00:00</v>
          </cell>
          <cell r="H72" t="str">
            <v>00:00:00</v>
          </cell>
          <cell r="I72" t="str">
            <v>01:09:53</v>
          </cell>
        </row>
        <row r="73">
          <cell r="A73" t="str">
            <v>Hyd_Om Prakash (1008583)</v>
          </cell>
          <cell r="B73" t="str">
            <v>00:39:48</v>
          </cell>
          <cell r="C73" t="str">
            <v>00:29:54</v>
          </cell>
          <cell r="D73" t="str">
            <v>00:00:00</v>
          </cell>
          <cell r="E73" t="str">
            <v>00:00:00</v>
          </cell>
          <cell r="F73" t="str">
            <v>00:25:43</v>
          </cell>
          <cell r="G73" t="str">
            <v>00:00:00</v>
          </cell>
          <cell r="H73" t="str">
            <v>00:00:00</v>
          </cell>
          <cell r="I73" t="str">
            <v>01:36:03</v>
          </cell>
        </row>
        <row r="74">
          <cell r="A74" t="str">
            <v>Hyd_Omprakash O (1008584)</v>
          </cell>
          <cell r="B74" t="str">
            <v>00:39:30</v>
          </cell>
          <cell r="C74" t="str">
            <v>00:28:52</v>
          </cell>
          <cell r="D74" t="str">
            <v>01:01:11</v>
          </cell>
          <cell r="E74" t="str">
            <v>00:00:00</v>
          </cell>
          <cell r="F74" t="str">
            <v>00:00:00</v>
          </cell>
          <cell r="G74" t="str">
            <v>00:00:00</v>
          </cell>
          <cell r="H74" t="str">
            <v>00:00:00</v>
          </cell>
          <cell r="I74" t="str">
            <v>02:11:54</v>
          </cell>
        </row>
        <row r="75">
          <cell r="A75" t="str">
            <v>Hyd_Owais Mohd (1008585)</v>
          </cell>
          <cell r="B75" t="str">
            <v>00:39:56</v>
          </cell>
          <cell r="C75" t="str">
            <v>00:30:00</v>
          </cell>
          <cell r="D75" t="str">
            <v>00:00:00</v>
          </cell>
          <cell r="E75" t="str">
            <v>00:00:00</v>
          </cell>
          <cell r="F75" t="str">
            <v>01:16:16</v>
          </cell>
          <cell r="G75" t="str">
            <v>00:00:00</v>
          </cell>
          <cell r="H75" t="str">
            <v>00:00:00</v>
          </cell>
          <cell r="I75" t="str">
            <v>02:26:26</v>
          </cell>
        </row>
        <row r="76">
          <cell r="A76" t="str">
            <v>Hyd_Pankaj Shelkey (1008586)</v>
          </cell>
          <cell r="B76" t="str">
            <v>00:39:59</v>
          </cell>
          <cell r="C76" t="str">
            <v>00:29:58</v>
          </cell>
          <cell r="D76" t="str">
            <v>00:00:00</v>
          </cell>
          <cell r="E76" t="str">
            <v>00:00:00</v>
          </cell>
          <cell r="F76" t="str">
            <v>00:00:00</v>
          </cell>
          <cell r="G76" t="str">
            <v>00:00:00</v>
          </cell>
          <cell r="H76" t="str">
            <v>00:45:18</v>
          </cell>
          <cell r="I76" t="str">
            <v>01:55:26</v>
          </cell>
        </row>
        <row r="77">
          <cell r="A77" t="str">
            <v>Hyd_Partha Sarathi (1008587)</v>
          </cell>
          <cell r="B77" t="str">
            <v>00:41:16</v>
          </cell>
          <cell r="C77" t="str">
            <v>00:29:14</v>
          </cell>
          <cell r="D77" t="str">
            <v>00:27:13</v>
          </cell>
          <cell r="E77" t="str">
            <v>00:00:00</v>
          </cell>
          <cell r="F77" t="str">
            <v>00:00:00</v>
          </cell>
          <cell r="G77" t="str">
            <v>00:00:00</v>
          </cell>
          <cell r="H77" t="str">
            <v>00:00:00</v>
          </cell>
          <cell r="I77" t="str">
            <v>01:38:42</v>
          </cell>
        </row>
        <row r="78">
          <cell r="A78" t="str">
            <v>Hyd_Prabha Desikan (1008588)</v>
          </cell>
          <cell r="B78" t="str">
            <v>00:39:03</v>
          </cell>
          <cell r="C78" t="str">
            <v>00:15:01</v>
          </cell>
          <cell r="D78" t="str">
            <v>00:00:00</v>
          </cell>
          <cell r="E78" t="str">
            <v>00:00:00</v>
          </cell>
          <cell r="F78" t="str">
            <v>02:36:37</v>
          </cell>
          <cell r="G78" t="str">
            <v>00:00:00</v>
          </cell>
          <cell r="H78" t="str">
            <v>00:40:39</v>
          </cell>
          <cell r="I78" t="str">
            <v>04:11:26</v>
          </cell>
        </row>
        <row r="79">
          <cell r="A79" t="str">
            <v>Hyd_Pramod Tiwari (1008589)</v>
          </cell>
          <cell r="B79" t="str">
            <v>00:39:59</v>
          </cell>
          <cell r="C79" t="str">
            <v>00:16:04</v>
          </cell>
          <cell r="D79" t="str">
            <v>01:06:00</v>
          </cell>
          <cell r="E79" t="str">
            <v>00:00:00</v>
          </cell>
          <cell r="F79" t="str">
            <v>02:18:51</v>
          </cell>
          <cell r="G79" t="str">
            <v>00:00:00</v>
          </cell>
          <cell r="H79" t="str">
            <v>00:00:00</v>
          </cell>
          <cell r="I79" t="str">
            <v>04:21:06</v>
          </cell>
        </row>
        <row r="80">
          <cell r="A80" t="str">
            <v>Hyd_Prasannakumari S (1008590)</v>
          </cell>
          <cell r="B80" t="str">
            <v>00:39:50</v>
          </cell>
          <cell r="C80" t="str">
            <v>00:30:15</v>
          </cell>
          <cell r="D80" t="str">
            <v>00:00:00</v>
          </cell>
          <cell r="E80" t="str">
            <v>00:00:00</v>
          </cell>
          <cell r="F80" t="str">
            <v>00:00:00</v>
          </cell>
          <cell r="G80" t="str">
            <v>00:00:00</v>
          </cell>
          <cell r="H80" t="str">
            <v>00:00:00</v>
          </cell>
          <cell r="I80" t="str">
            <v>01:10:25</v>
          </cell>
        </row>
        <row r="81">
          <cell r="A81" t="str">
            <v>Hyd_Praveen Kumar (1008591)</v>
          </cell>
          <cell r="B81" t="str">
            <v>00:41:26</v>
          </cell>
          <cell r="C81" t="str">
            <v>00:27:00</v>
          </cell>
          <cell r="D81" t="str">
            <v>01:28:47</v>
          </cell>
          <cell r="E81" t="str">
            <v>00:00:00</v>
          </cell>
          <cell r="F81" t="str">
            <v>00:00:00</v>
          </cell>
          <cell r="G81" t="str">
            <v>00:00:00</v>
          </cell>
          <cell r="H81" t="str">
            <v>00:00:00</v>
          </cell>
          <cell r="I81" t="str">
            <v>02:37:28</v>
          </cell>
        </row>
        <row r="82">
          <cell r="A82" t="str">
            <v>Hyd_Rachel Mathew (1008592)</v>
          </cell>
          <cell r="B82" t="str">
            <v>00:36:50</v>
          </cell>
          <cell r="C82" t="str">
            <v>00:15:31</v>
          </cell>
          <cell r="D82" t="str">
            <v>00:00:00</v>
          </cell>
          <cell r="E82" t="str">
            <v>00:00:00</v>
          </cell>
          <cell r="F82" t="str">
            <v>02:27:33</v>
          </cell>
          <cell r="G82" t="str">
            <v>00:00:00</v>
          </cell>
          <cell r="H82" t="str">
            <v>00:00:00</v>
          </cell>
          <cell r="I82" t="str">
            <v>03:20:01</v>
          </cell>
        </row>
        <row r="83">
          <cell r="A83" t="str">
            <v>Hyd_Rachita Anupam (1008593)</v>
          </cell>
          <cell r="B83" t="str">
            <v>00:43:23</v>
          </cell>
          <cell r="C83" t="str">
            <v>00:25:02</v>
          </cell>
          <cell r="D83" t="str">
            <v>00:00:00</v>
          </cell>
          <cell r="E83" t="str">
            <v>00:00:00</v>
          </cell>
          <cell r="F83" t="str">
            <v>00:00:00</v>
          </cell>
          <cell r="G83" t="str">
            <v>00:00:00</v>
          </cell>
          <cell r="H83" t="str">
            <v>00:00:00</v>
          </cell>
          <cell r="I83" t="str">
            <v>01:08:32</v>
          </cell>
        </row>
        <row r="84">
          <cell r="A84" t="str">
            <v>Hyd_Rachna Chauhan (1008594)</v>
          </cell>
          <cell r="B84" t="str">
            <v>00:00:00</v>
          </cell>
          <cell r="C84" t="str">
            <v>00:30:00</v>
          </cell>
          <cell r="D84" t="str">
            <v>00:00:00</v>
          </cell>
          <cell r="E84" t="str">
            <v>00:00:00</v>
          </cell>
          <cell r="F84" t="str">
            <v>00:00:00</v>
          </cell>
          <cell r="G84" t="str">
            <v>00:00:00</v>
          </cell>
          <cell r="H84" t="str">
            <v>00:00:00</v>
          </cell>
          <cell r="I84" t="str">
            <v>00:30:20</v>
          </cell>
        </row>
        <row r="85">
          <cell r="A85" t="str">
            <v>Hyd_Raj Kumar (1008595)</v>
          </cell>
          <cell r="B85" t="str">
            <v>00:39:14</v>
          </cell>
          <cell r="C85" t="str">
            <v>00:28:23</v>
          </cell>
          <cell r="D85" t="str">
            <v>00:00:00</v>
          </cell>
          <cell r="E85" t="str">
            <v>00:00:00</v>
          </cell>
          <cell r="F85" t="str">
            <v>00:00:00</v>
          </cell>
          <cell r="G85" t="str">
            <v>00:00:00</v>
          </cell>
          <cell r="H85" t="str">
            <v>00:00:00</v>
          </cell>
          <cell r="I85" t="str">
            <v>01:08:44</v>
          </cell>
        </row>
        <row r="86">
          <cell r="A86" t="str">
            <v>Hyd_Rajeev Garg (1008596)</v>
          </cell>
          <cell r="B86" t="str">
            <v>00:39:56</v>
          </cell>
          <cell r="C86" t="str">
            <v>00:25:04</v>
          </cell>
          <cell r="D86" t="str">
            <v>00:00:00</v>
          </cell>
          <cell r="E86" t="str">
            <v>00:00:00</v>
          </cell>
          <cell r="F86" t="str">
            <v>00:00:00</v>
          </cell>
          <cell r="G86" t="str">
            <v>00:00:00</v>
          </cell>
          <cell r="H86" t="str">
            <v>00:00:00</v>
          </cell>
          <cell r="I86" t="str">
            <v>01:08:24</v>
          </cell>
        </row>
        <row r="87">
          <cell r="A87" t="str">
            <v>Hyd_Rajeev Kumar (1008597)</v>
          </cell>
          <cell r="B87" t="str">
            <v>00:39:40</v>
          </cell>
          <cell r="C87" t="str">
            <v>00:30:17</v>
          </cell>
          <cell r="D87" t="str">
            <v>00:00:00</v>
          </cell>
          <cell r="E87" t="str">
            <v>00:00:00</v>
          </cell>
          <cell r="F87" t="str">
            <v>00:00:00</v>
          </cell>
          <cell r="G87" t="str">
            <v>00:00:00</v>
          </cell>
          <cell r="H87" t="str">
            <v>00:26:42</v>
          </cell>
          <cell r="I87" t="str">
            <v>01:37:06</v>
          </cell>
        </row>
        <row r="88">
          <cell r="A88" t="str">
            <v>Hyd_Rajendra Gupta (1008598)</v>
          </cell>
          <cell r="B88" t="str">
            <v>00:40:05</v>
          </cell>
          <cell r="C88" t="str">
            <v>00:29:50</v>
          </cell>
          <cell r="D88" t="str">
            <v>00:00:00</v>
          </cell>
          <cell r="E88" t="str">
            <v>00:00:00</v>
          </cell>
          <cell r="F88" t="str">
            <v>00:00:00</v>
          </cell>
          <cell r="G88" t="str">
            <v>00:00:00</v>
          </cell>
          <cell r="H88" t="str">
            <v>00:08:54</v>
          </cell>
          <cell r="I88" t="str">
            <v>01:19:08</v>
          </cell>
        </row>
        <row r="89">
          <cell r="A89" t="str">
            <v>Hyd_Rajendra Kumar (1008599)</v>
          </cell>
          <cell r="B89" t="str">
            <v>00:41:03</v>
          </cell>
          <cell r="C89" t="str">
            <v>00:18:31</v>
          </cell>
          <cell r="D89" t="str">
            <v>00:00:00</v>
          </cell>
          <cell r="E89" t="str">
            <v>00:51:05</v>
          </cell>
          <cell r="F89" t="str">
            <v>00:00:00</v>
          </cell>
          <cell r="G89" t="str">
            <v>00:00:00</v>
          </cell>
          <cell r="H89" t="str">
            <v>00:40:02</v>
          </cell>
          <cell r="I89" t="str">
            <v>02:34:16</v>
          </cell>
        </row>
        <row r="90">
          <cell r="A90" t="str">
            <v>Hyd_Rajendra Prasad (1008600)</v>
          </cell>
          <cell r="B90" t="str">
            <v>00:39:47</v>
          </cell>
          <cell r="C90" t="str">
            <v>00:15:10</v>
          </cell>
          <cell r="D90" t="str">
            <v>00:00:00</v>
          </cell>
          <cell r="E90" t="str">
            <v>03:11:33</v>
          </cell>
          <cell r="F90" t="str">
            <v>02:38:03</v>
          </cell>
          <cell r="G90" t="str">
            <v>00:00:00</v>
          </cell>
          <cell r="H90" t="str">
            <v>00:22:18</v>
          </cell>
          <cell r="I90" t="str">
            <v>07:08:19</v>
          </cell>
        </row>
        <row r="91">
          <cell r="A91" t="str">
            <v>Hyd_Rajesh Kumar (1008601)</v>
          </cell>
          <cell r="B91" t="str">
            <v>00:39:36</v>
          </cell>
          <cell r="C91" t="str">
            <v>00:29:57</v>
          </cell>
          <cell r="D91" t="str">
            <v>00:00:00</v>
          </cell>
          <cell r="E91" t="str">
            <v>00:00:00</v>
          </cell>
          <cell r="F91" t="str">
            <v>00:00:00</v>
          </cell>
          <cell r="G91" t="str">
            <v>00:00:00</v>
          </cell>
          <cell r="H91" t="str">
            <v>00:01:27</v>
          </cell>
          <cell r="I91" t="str">
            <v>01:12:04</v>
          </cell>
        </row>
        <row r="92">
          <cell r="A92" t="str">
            <v>Hyd_Rajesh Kumar (1008602)</v>
          </cell>
          <cell r="B92" t="str">
            <v>00:39:59</v>
          </cell>
          <cell r="C92" t="str">
            <v>00:29:59</v>
          </cell>
          <cell r="D92" t="str">
            <v>00:00:00</v>
          </cell>
          <cell r="E92" t="str">
            <v>00:52:20</v>
          </cell>
          <cell r="F92" t="str">
            <v>00:00:00</v>
          </cell>
          <cell r="G92" t="str">
            <v>00:00:00</v>
          </cell>
          <cell r="H92" t="str">
            <v>00:00:00</v>
          </cell>
          <cell r="I92" t="str">
            <v>02:06:35</v>
          </cell>
        </row>
        <row r="93">
          <cell r="A93" t="str">
            <v>Hyd_Rajesh Sharma (1008603)</v>
          </cell>
          <cell r="B93" t="str">
            <v>00:00:00</v>
          </cell>
          <cell r="C93" t="str">
            <v>00:15:03</v>
          </cell>
          <cell r="D93" t="str">
            <v>00:00:00</v>
          </cell>
          <cell r="E93" t="str">
            <v>00:00:00</v>
          </cell>
          <cell r="F93" t="str">
            <v>00:00:02</v>
          </cell>
          <cell r="G93" t="str">
            <v>00:08:32</v>
          </cell>
          <cell r="H93" t="str">
            <v>00:00:00</v>
          </cell>
          <cell r="I93" t="str">
            <v>00:24:27</v>
          </cell>
        </row>
        <row r="94">
          <cell r="A94" t="str">
            <v>Hyd_Raji Abraham (1008604)</v>
          </cell>
          <cell r="B94" t="str">
            <v>00:39:46</v>
          </cell>
          <cell r="C94" t="str">
            <v>00:29:34</v>
          </cell>
          <cell r="D94" t="str">
            <v>00:00:00</v>
          </cell>
          <cell r="E94" t="str">
            <v>00:00:00</v>
          </cell>
          <cell r="F94" t="str">
            <v>00:00:00</v>
          </cell>
          <cell r="G94" t="str">
            <v>00:00:00</v>
          </cell>
          <cell r="H94" t="str">
            <v>00:00:00</v>
          </cell>
          <cell r="I94" t="str">
            <v>01:09:28</v>
          </cell>
        </row>
        <row r="95">
          <cell r="A95" t="str">
            <v>Hyd_Rajshree Dhabekar (1008605)</v>
          </cell>
          <cell r="B95" t="str">
            <v>00:40:05</v>
          </cell>
          <cell r="C95" t="str">
            <v>00:27:28</v>
          </cell>
          <cell r="D95" t="str">
            <v>00:00:00</v>
          </cell>
          <cell r="E95" t="str">
            <v>00:00:00</v>
          </cell>
          <cell r="F95" t="str">
            <v>02:37:19</v>
          </cell>
          <cell r="G95" t="str">
            <v>00:00:00</v>
          </cell>
          <cell r="H95" t="str">
            <v>04:29:57</v>
          </cell>
          <cell r="I95" t="str">
            <v>08:15:09</v>
          </cell>
        </row>
        <row r="96">
          <cell r="A96" t="str">
            <v>Hyd_Rakhi Jodhani (1008606)</v>
          </cell>
          <cell r="B96" t="str">
            <v>00:39:17</v>
          </cell>
          <cell r="C96" t="str">
            <v>00:17:15</v>
          </cell>
          <cell r="D96" t="str">
            <v>00:00:00</v>
          </cell>
          <cell r="E96" t="str">
            <v>00:00:00</v>
          </cell>
          <cell r="F96" t="str">
            <v>02:37:45</v>
          </cell>
          <cell r="G96" t="str">
            <v>00:00:00</v>
          </cell>
          <cell r="H96" t="str">
            <v>03:05:19</v>
          </cell>
          <cell r="I96" t="str">
            <v>06:39:44</v>
          </cell>
        </row>
        <row r="97">
          <cell r="A97" t="str">
            <v>Hyd_Ramji Prasad (1008607)</v>
          </cell>
          <cell r="B97" t="str">
            <v>00:39:33</v>
          </cell>
          <cell r="C97" t="str">
            <v>00:29:13</v>
          </cell>
          <cell r="D97" t="str">
            <v>00:00:00</v>
          </cell>
          <cell r="E97" t="str">
            <v>00:00:00</v>
          </cell>
          <cell r="F97" t="str">
            <v>00:00:00</v>
          </cell>
          <cell r="G97" t="str">
            <v>00:03:52</v>
          </cell>
          <cell r="H97" t="str">
            <v>00:00:00</v>
          </cell>
          <cell r="I97" t="str">
            <v>01:13:46</v>
          </cell>
        </row>
        <row r="98">
          <cell r="A98" t="str">
            <v>Del_Rashid (1008608)</v>
          </cell>
          <cell r="B98" t="str">
            <v>00:39:52</v>
          </cell>
          <cell r="C98" t="str">
            <v>00:15:13</v>
          </cell>
          <cell r="D98" t="str">
            <v>00:00:00</v>
          </cell>
          <cell r="E98" t="str">
            <v>00:00:00</v>
          </cell>
          <cell r="F98" t="str">
            <v>00:00:00</v>
          </cell>
          <cell r="G98" t="str">
            <v>00:00:00</v>
          </cell>
          <cell r="H98" t="str">
            <v>04:49:55</v>
          </cell>
          <cell r="I98" t="str">
            <v>05:45:13</v>
          </cell>
        </row>
        <row r="99">
          <cell r="A99" t="str">
            <v>Del_Rashmi Gajbe (1008609)</v>
          </cell>
          <cell r="B99" t="str">
            <v>00:37:12</v>
          </cell>
          <cell r="C99" t="str">
            <v>00:28:12</v>
          </cell>
          <cell r="D99" t="str">
            <v>00:00:00</v>
          </cell>
          <cell r="E99" t="str">
            <v>00:57:50</v>
          </cell>
          <cell r="F99" t="str">
            <v>00:00:00</v>
          </cell>
          <cell r="G99" t="str">
            <v>00:00:00</v>
          </cell>
          <cell r="H99" t="str">
            <v>00:00:00</v>
          </cell>
          <cell r="I99" t="str">
            <v>02:04:58</v>
          </cell>
        </row>
        <row r="100">
          <cell r="A100" t="str">
            <v>Del_Ravi Kumar (1008610)</v>
          </cell>
          <cell r="B100" t="str">
            <v>00:39:42</v>
          </cell>
          <cell r="C100" t="str">
            <v>00:29:46</v>
          </cell>
          <cell r="D100" t="str">
            <v>00:00:00</v>
          </cell>
          <cell r="E100" t="str">
            <v>00:00:00</v>
          </cell>
          <cell r="F100" t="str">
            <v>00:00:00</v>
          </cell>
          <cell r="G100" t="str">
            <v>00:00:00</v>
          </cell>
          <cell r="H100" t="str">
            <v>00:00:00</v>
          </cell>
          <cell r="I100" t="str">
            <v>01:11:14</v>
          </cell>
        </row>
        <row r="101">
          <cell r="A101" t="str">
            <v>Del_Ravinder Kaur (1008611)</v>
          </cell>
          <cell r="B101" t="str">
            <v>00:38:25</v>
          </cell>
          <cell r="C101" t="str">
            <v>00:30:57</v>
          </cell>
          <cell r="D101" t="str">
            <v>00:00:00</v>
          </cell>
          <cell r="E101" t="str">
            <v>00:00:00</v>
          </cell>
          <cell r="F101" t="str">
            <v>00:00:00</v>
          </cell>
          <cell r="G101" t="str">
            <v>00:00:00</v>
          </cell>
          <cell r="H101" t="str">
            <v>00:00:00</v>
          </cell>
          <cell r="I101" t="str">
            <v>01:09:28</v>
          </cell>
        </row>
        <row r="102">
          <cell r="A102" t="str">
            <v>Del_Rekha Agarwal (1008612)</v>
          </cell>
          <cell r="B102" t="str">
            <v>00:21:26</v>
          </cell>
          <cell r="C102" t="str">
            <v>00:48:36</v>
          </cell>
          <cell r="D102" t="str">
            <v>00:00:00</v>
          </cell>
          <cell r="E102" t="str">
            <v>00:53:33</v>
          </cell>
          <cell r="F102" t="str">
            <v>00:00:00</v>
          </cell>
          <cell r="G102" t="str">
            <v>00:00:00</v>
          </cell>
          <cell r="H102" t="str">
            <v>00:31:25</v>
          </cell>
          <cell r="I102" t="str">
            <v>02:41:42</v>
          </cell>
        </row>
        <row r="103">
          <cell r="A103" t="str">
            <v>Del_Rekha Gupta (1008613)</v>
          </cell>
          <cell r="B103" t="str">
            <v>00:39:54</v>
          </cell>
          <cell r="C103" t="str">
            <v>00:29:13</v>
          </cell>
          <cell r="D103" t="str">
            <v>00:00:00</v>
          </cell>
          <cell r="E103" t="str">
            <v>00:00:00</v>
          </cell>
          <cell r="F103" t="str">
            <v>00:00:00</v>
          </cell>
          <cell r="G103" t="str">
            <v>00:00:00</v>
          </cell>
          <cell r="H103" t="str">
            <v>00:41:04</v>
          </cell>
          <cell r="I103" t="str">
            <v>01:50:37</v>
          </cell>
        </row>
        <row r="104">
          <cell r="A104" t="str">
            <v>Del_Rekha Jain  (1008614)</v>
          </cell>
          <cell r="B104" t="str">
            <v>00:37:35</v>
          </cell>
          <cell r="C104" t="str">
            <v>00:38:20</v>
          </cell>
          <cell r="D104" t="str">
            <v>00:00:00</v>
          </cell>
          <cell r="E104" t="str">
            <v>00:00:00</v>
          </cell>
          <cell r="F104" t="str">
            <v>00:00:00</v>
          </cell>
          <cell r="G104" t="str">
            <v>00:00:00</v>
          </cell>
          <cell r="H104" t="str">
            <v>00:19:57</v>
          </cell>
          <cell r="I104" t="str">
            <v>01:36:57</v>
          </cell>
        </row>
        <row r="105">
          <cell r="A105" t="str">
            <v>Del_Renu Pratap (1008615)</v>
          </cell>
          <cell r="B105" t="str">
            <v>00:38:05</v>
          </cell>
          <cell r="C105" t="str">
            <v>00:30:03</v>
          </cell>
          <cell r="D105" t="str">
            <v>01:18:15</v>
          </cell>
          <cell r="E105" t="str">
            <v>00:00:00</v>
          </cell>
          <cell r="F105" t="str">
            <v>02:37:00</v>
          </cell>
          <cell r="G105" t="str">
            <v>00:00:00</v>
          </cell>
          <cell r="H105" t="str">
            <v>00:03:35</v>
          </cell>
          <cell r="I105" t="str">
            <v>05:07:55</v>
          </cell>
        </row>
        <row r="106">
          <cell r="A106" t="str">
            <v>Del_Ritu Bhatnagar (1008616)</v>
          </cell>
          <cell r="B106" t="str">
            <v>00:42:29</v>
          </cell>
          <cell r="C106" t="str">
            <v>00:29:37</v>
          </cell>
          <cell r="D106" t="str">
            <v>00:00:00</v>
          </cell>
          <cell r="E106" t="str">
            <v>00:00:00</v>
          </cell>
          <cell r="F106" t="str">
            <v>00:00:00</v>
          </cell>
          <cell r="G106" t="str">
            <v>00:00:00</v>
          </cell>
          <cell r="H106" t="str">
            <v>00:00:00</v>
          </cell>
          <cell r="I106" t="str">
            <v>01:13:20</v>
          </cell>
        </row>
        <row r="107">
          <cell r="A107" t="str">
            <v>Del_Rohit Nishchal (1008617)</v>
          </cell>
          <cell r="B107" t="str">
            <v>00:39:58</v>
          </cell>
          <cell r="C107" t="str">
            <v>00:29:27</v>
          </cell>
          <cell r="D107" t="str">
            <v>00:00:00</v>
          </cell>
          <cell r="E107" t="str">
            <v>00:00:00</v>
          </cell>
          <cell r="F107" t="str">
            <v>00:00:00</v>
          </cell>
          <cell r="G107" t="str">
            <v>00:00:00</v>
          </cell>
          <cell r="H107" t="str">
            <v>07:06:42</v>
          </cell>
          <cell r="I107" t="str">
            <v>08:17:00</v>
          </cell>
        </row>
        <row r="108">
          <cell r="A108" t="str">
            <v>Del_Roli Bhatnagar (1008618)</v>
          </cell>
          <cell r="B108" t="str">
            <v>00:39:45</v>
          </cell>
          <cell r="C108" t="str">
            <v>00:26:41</v>
          </cell>
          <cell r="D108" t="str">
            <v>01:03:42</v>
          </cell>
          <cell r="E108" t="str">
            <v>00:00:00</v>
          </cell>
          <cell r="F108" t="str">
            <v>00:00:00</v>
          </cell>
          <cell r="G108" t="str">
            <v>00:00:00</v>
          </cell>
          <cell r="H108" t="str">
            <v>00:00:00</v>
          </cell>
          <cell r="I108" t="str">
            <v>02:10:16</v>
          </cell>
        </row>
        <row r="109">
          <cell r="A109" t="str">
            <v>Del_Roma Rastogi (1008619)</v>
          </cell>
          <cell r="B109" t="str">
            <v>00:28:00</v>
          </cell>
          <cell r="C109" t="str">
            <v>00:25:27</v>
          </cell>
          <cell r="D109" t="str">
            <v>00:00:00</v>
          </cell>
          <cell r="E109" t="str">
            <v>00:00:00</v>
          </cell>
          <cell r="F109" t="str">
            <v>00:00:00</v>
          </cell>
          <cell r="G109" t="str">
            <v>00:00:00</v>
          </cell>
          <cell r="H109" t="str">
            <v>00:00:00</v>
          </cell>
          <cell r="I109" t="str">
            <v>00:53:47</v>
          </cell>
        </row>
        <row r="110">
          <cell r="A110" t="str">
            <v>Del_Roohi Haider (1008620)</v>
          </cell>
          <cell r="B110" t="str">
            <v>00:39:10</v>
          </cell>
          <cell r="C110" t="str">
            <v>00:29:57</v>
          </cell>
          <cell r="D110" t="str">
            <v>00:00:00</v>
          </cell>
          <cell r="E110" t="str">
            <v>00:00:00</v>
          </cell>
          <cell r="F110" t="str">
            <v>00:00:00</v>
          </cell>
          <cell r="G110" t="str">
            <v>00:00:00</v>
          </cell>
          <cell r="H110" t="str">
            <v>00:00:00</v>
          </cell>
          <cell r="I110" t="str">
            <v>01:09:24</v>
          </cell>
        </row>
        <row r="111">
          <cell r="A111" t="str">
            <v>Del_Sajid Naqvi (1008621)</v>
          </cell>
          <cell r="B111" t="str">
            <v>00:40:48</v>
          </cell>
          <cell r="C111" t="str">
            <v>00:27:41</v>
          </cell>
          <cell r="D111" t="str">
            <v>00:00:00</v>
          </cell>
          <cell r="E111" t="str">
            <v>00:00:00</v>
          </cell>
          <cell r="F111" t="str">
            <v>00:00:00</v>
          </cell>
          <cell r="G111" t="str">
            <v>00:00:00</v>
          </cell>
          <cell r="H111" t="str">
            <v>00:00:00</v>
          </cell>
          <cell r="I111" t="str">
            <v>01:08:40</v>
          </cell>
        </row>
        <row r="112">
          <cell r="A112" t="str">
            <v>Del_Salim (1008622)</v>
          </cell>
          <cell r="B112" t="str">
            <v>00:39:49</v>
          </cell>
          <cell r="C112" t="str">
            <v>00:29:18</v>
          </cell>
          <cell r="D112" t="str">
            <v>00:00:00</v>
          </cell>
          <cell r="E112" t="str">
            <v>00:00:00</v>
          </cell>
          <cell r="F112" t="str">
            <v>00:00:00</v>
          </cell>
          <cell r="G112" t="str">
            <v>00:00:00</v>
          </cell>
          <cell r="H112" t="str">
            <v>00:48:57</v>
          </cell>
          <cell r="I112" t="str">
            <v>01:59:29</v>
          </cell>
        </row>
        <row r="113">
          <cell r="A113" t="str">
            <v>Del_Sanjay Hire (1008623)</v>
          </cell>
          <cell r="B113" t="str">
            <v>00:39:16</v>
          </cell>
          <cell r="C113" t="str">
            <v>00:29:44</v>
          </cell>
          <cell r="D113" t="str">
            <v>00:00:00</v>
          </cell>
          <cell r="E113" t="str">
            <v>00:00:00</v>
          </cell>
          <cell r="F113" t="str">
            <v>00:00:00</v>
          </cell>
          <cell r="G113" t="str">
            <v>00:00:00</v>
          </cell>
          <cell r="H113" t="str">
            <v>00:00:00</v>
          </cell>
          <cell r="I113" t="str">
            <v>01:09:43</v>
          </cell>
        </row>
        <row r="114">
          <cell r="A114" t="str">
            <v>Del_Sanjiv Subherwal (1008624)</v>
          </cell>
          <cell r="B114" t="str">
            <v>00:40:08</v>
          </cell>
          <cell r="C114" t="str">
            <v>00:29:42</v>
          </cell>
          <cell r="D114" t="str">
            <v>00:00:00</v>
          </cell>
          <cell r="E114" t="str">
            <v>00:00:00</v>
          </cell>
          <cell r="F114" t="str">
            <v>00:00:00</v>
          </cell>
          <cell r="G114" t="str">
            <v>00:00:00</v>
          </cell>
          <cell r="H114" t="str">
            <v>00:00:00</v>
          </cell>
          <cell r="I114" t="str">
            <v>01:10:15</v>
          </cell>
        </row>
        <row r="115">
          <cell r="A115" t="str">
            <v>Del_Sanju Ramdas (1008625)</v>
          </cell>
          <cell r="B115" t="str">
            <v>00:39:47</v>
          </cell>
          <cell r="C115" t="str">
            <v>00:29:56</v>
          </cell>
          <cell r="D115" t="str">
            <v>00:00:00</v>
          </cell>
          <cell r="E115" t="str">
            <v>00:00:00</v>
          </cell>
          <cell r="F115" t="str">
            <v>00:00:00</v>
          </cell>
          <cell r="G115" t="str">
            <v>00:00:02</v>
          </cell>
          <cell r="H115" t="str">
            <v>00:04:02</v>
          </cell>
          <cell r="I115" t="str">
            <v>01:13:56</v>
          </cell>
        </row>
        <row r="116">
          <cell r="A116" t="str">
            <v>Del_Santosh Kumar (1008626)</v>
          </cell>
          <cell r="B116" t="str">
            <v>00:39:52</v>
          </cell>
          <cell r="C116" t="str">
            <v>00:29:34</v>
          </cell>
          <cell r="D116" t="str">
            <v>00:00:00</v>
          </cell>
          <cell r="E116" t="str">
            <v>00:00:00</v>
          </cell>
          <cell r="F116" t="str">
            <v>00:00:00</v>
          </cell>
          <cell r="G116" t="str">
            <v>00:00:00</v>
          </cell>
          <cell r="H116" t="str">
            <v>00:00:00</v>
          </cell>
          <cell r="I116" t="str">
            <v>01:09:48</v>
          </cell>
        </row>
        <row r="117">
          <cell r="A117" t="str">
            <v>Del_Santosh Kumar (1008627)</v>
          </cell>
          <cell r="B117" t="str">
            <v>00:40:01</v>
          </cell>
          <cell r="C117" t="str">
            <v>00:30:20</v>
          </cell>
          <cell r="D117" t="str">
            <v>00:00:00</v>
          </cell>
          <cell r="E117" t="str">
            <v>00:00:00</v>
          </cell>
          <cell r="F117" t="str">
            <v>00:00:00</v>
          </cell>
          <cell r="G117" t="str">
            <v>00:00:00</v>
          </cell>
          <cell r="H117" t="str">
            <v>00:00:00</v>
          </cell>
          <cell r="I117" t="str">
            <v>01:10:58</v>
          </cell>
        </row>
        <row r="118">
          <cell r="A118" t="str">
            <v>Del_Santosh Kumar (1008628)</v>
          </cell>
          <cell r="B118" t="str">
            <v>00:41:46</v>
          </cell>
          <cell r="C118" t="str">
            <v>00:28:09</v>
          </cell>
          <cell r="D118" t="str">
            <v>00:00:00</v>
          </cell>
          <cell r="E118" t="str">
            <v>00:00:00</v>
          </cell>
          <cell r="F118" t="str">
            <v>00:00:00</v>
          </cell>
          <cell r="G118" t="str">
            <v>00:00:00</v>
          </cell>
          <cell r="H118" t="str">
            <v>00:00:00</v>
          </cell>
          <cell r="I118" t="str">
            <v>01:12:01</v>
          </cell>
        </row>
        <row r="119">
          <cell r="A119" t="str">
            <v>Del_Sapna Sharma (1008629)</v>
          </cell>
          <cell r="B119" t="str">
            <v>00:38:46</v>
          </cell>
          <cell r="C119" t="str">
            <v>00:29:34</v>
          </cell>
          <cell r="D119" t="str">
            <v>00:00:00</v>
          </cell>
          <cell r="E119" t="str">
            <v>00:00:00</v>
          </cell>
          <cell r="F119" t="str">
            <v>00:00:00</v>
          </cell>
          <cell r="G119" t="str">
            <v>00:00:00</v>
          </cell>
          <cell r="H119" t="str">
            <v>00:23:22</v>
          </cell>
          <cell r="I119" t="str">
            <v>01:32:37</v>
          </cell>
        </row>
        <row r="120">
          <cell r="A120" t="str">
            <v>Del_Saroj Parita (1008630)</v>
          </cell>
          <cell r="B120" t="str">
            <v>00:42:28</v>
          </cell>
          <cell r="C120" t="str">
            <v>00:25:06</v>
          </cell>
          <cell r="D120" t="str">
            <v>00:00:00</v>
          </cell>
          <cell r="E120" t="str">
            <v>00:00:00</v>
          </cell>
          <cell r="F120" t="str">
            <v>00:00:00</v>
          </cell>
          <cell r="G120" t="str">
            <v>00:00:00</v>
          </cell>
          <cell r="H120" t="str">
            <v>00:31:53</v>
          </cell>
          <cell r="I120" t="str">
            <v>01:45:37</v>
          </cell>
        </row>
        <row r="121">
          <cell r="A121" t="str">
            <v>Del_Shailaja Kamal (1008631)</v>
          </cell>
          <cell r="B121" t="str">
            <v>00:38:40</v>
          </cell>
          <cell r="C121" t="str">
            <v>00:29:05</v>
          </cell>
          <cell r="D121" t="str">
            <v>00:00:00</v>
          </cell>
          <cell r="E121" t="str">
            <v>00:00:00</v>
          </cell>
          <cell r="F121" t="str">
            <v>00:00:00</v>
          </cell>
          <cell r="G121" t="str">
            <v>00:00:00</v>
          </cell>
          <cell r="H121" t="str">
            <v>00:00:00</v>
          </cell>
          <cell r="I121" t="str">
            <v>01:08:46</v>
          </cell>
        </row>
        <row r="122">
          <cell r="A122" t="str">
            <v>Del_Shailendra Barge (1008632)</v>
          </cell>
          <cell r="B122" t="str">
            <v>00:39:40</v>
          </cell>
          <cell r="C122" t="str">
            <v>00:29:48</v>
          </cell>
          <cell r="D122" t="str">
            <v>00:00:00</v>
          </cell>
          <cell r="E122" t="str">
            <v>00:00:00</v>
          </cell>
          <cell r="F122" t="str">
            <v>02:31:25</v>
          </cell>
          <cell r="G122" t="str">
            <v>00:00:00</v>
          </cell>
          <cell r="H122" t="str">
            <v>00:00:00</v>
          </cell>
          <cell r="I122" t="str">
            <v>03:43:06</v>
          </cell>
        </row>
        <row r="123">
          <cell r="A123" t="str">
            <v>Del_Shankar Attendant (1008633)</v>
          </cell>
          <cell r="B123" t="str">
            <v>00:39:24</v>
          </cell>
          <cell r="C123" t="str">
            <v>00:30:43</v>
          </cell>
          <cell r="D123" t="str">
            <v>01:23:39</v>
          </cell>
          <cell r="E123" t="str">
            <v>00:00:00</v>
          </cell>
          <cell r="F123" t="str">
            <v>00:00:00</v>
          </cell>
          <cell r="G123" t="str">
            <v>00:00:00</v>
          </cell>
          <cell r="H123" t="str">
            <v>00:40:50</v>
          </cell>
          <cell r="I123" t="str">
            <v>03:15:05</v>
          </cell>
        </row>
        <row r="124">
          <cell r="A124" t="str">
            <v>Del_Shashikant Tiwari (1008634)</v>
          </cell>
          <cell r="B124" t="str">
            <v>00:39:24</v>
          </cell>
          <cell r="C124" t="str">
            <v>00:29:29</v>
          </cell>
          <cell r="D124" t="str">
            <v>00:00:00</v>
          </cell>
          <cell r="E124" t="str">
            <v>00:00:00</v>
          </cell>
          <cell r="F124" t="str">
            <v>00:00:00</v>
          </cell>
          <cell r="G124" t="str">
            <v>00:00:00</v>
          </cell>
          <cell r="H124" t="str">
            <v>00:00:00</v>
          </cell>
          <cell r="I124" t="str">
            <v>01:09:59</v>
          </cell>
        </row>
        <row r="125">
          <cell r="A125" t="str">
            <v>Del_Sheeba Joseph (1008635)</v>
          </cell>
          <cell r="B125" t="str">
            <v>00:35:25</v>
          </cell>
          <cell r="C125" t="str">
            <v>00:15:56</v>
          </cell>
          <cell r="D125" t="str">
            <v>00:00:00</v>
          </cell>
          <cell r="E125" t="str">
            <v>00:00:00</v>
          </cell>
          <cell r="F125" t="str">
            <v>00:00:00</v>
          </cell>
          <cell r="G125" t="str">
            <v>00:00:00</v>
          </cell>
          <cell r="H125" t="str">
            <v>00:00:00</v>
          </cell>
          <cell r="I125" t="str">
            <v>00:55:39</v>
          </cell>
        </row>
        <row r="126">
          <cell r="A126" t="str">
            <v>Del_Sheena Joseph (1008636)</v>
          </cell>
          <cell r="B126" t="str">
            <v>00:41:10</v>
          </cell>
          <cell r="C126" t="str">
            <v>00:29:22</v>
          </cell>
          <cell r="D126" t="str">
            <v>00:00:00</v>
          </cell>
          <cell r="E126" t="str">
            <v>00:00:00</v>
          </cell>
          <cell r="F126" t="str">
            <v>00:00:00</v>
          </cell>
          <cell r="G126" t="str">
            <v>00:00:00</v>
          </cell>
          <cell r="H126" t="str">
            <v>00:29:57</v>
          </cell>
          <cell r="I126" t="str">
            <v>01:41:30</v>
          </cell>
        </row>
        <row r="127">
          <cell r="A127" t="str">
            <v>Del_Shephali Jain (1008637)</v>
          </cell>
          <cell r="B127" t="str">
            <v>00:39:39</v>
          </cell>
          <cell r="C127" t="str">
            <v>00:14:27</v>
          </cell>
          <cell r="D127" t="str">
            <v>00:00:00</v>
          </cell>
          <cell r="E127" t="str">
            <v>00:00:00</v>
          </cell>
          <cell r="F127" t="str">
            <v>02:28:42</v>
          </cell>
          <cell r="G127" t="str">
            <v>00:00:00</v>
          </cell>
          <cell r="H127" t="str">
            <v>00:00:00</v>
          </cell>
          <cell r="I127" t="str">
            <v>03:23:49</v>
          </cell>
        </row>
        <row r="128">
          <cell r="A128" t="str">
            <v>Del_Shivji Prasad (1008638)</v>
          </cell>
          <cell r="B128" t="str">
            <v>00:39:24</v>
          </cell>
          <cell r="C128" t="str">
            <v>00:31:02</v>
          </cell>
          <cell r="D128" t="str">
            <v>00:00:00</v>
          </cell>
          <cell r="E128" t="str">
            <v>01:05:37</v>
          </cell>
          <cell r="F128" t="str">
            <v>00:00:00</v>
          </cell>
          <cell r="G128" t="str">
            <v>00:00:00</v>
          </cell>
          <cell r="H128" t="str">
            <v>00:00:00</v>
          </cell>
          <cell r="I128" t="str">
            <v>02:17:48</v>
          </cell>
        </row>
        <row r="129">
          <cell r="A129" t="str">
            <v>Del_Shubhanjali Joshi (1008639)</v>
          </cell>
          <cell r="B129" t="str">
            <v>00:39:30</v>
          </cell>
          <cell r="C129" t="str">
            <v>00:29:45</v>
          </cell>
          <cell r="D129" t="str">
            <v>00:00:00</v>
          </cell>
          <cell r="E129" t="str">
            <v>00:00:00</v>
          </cell>
          <cell r="F129" t="str">
            <v>00:00:00</v>
          </cell>
          <cell r="G129" t="str">
            <v>00:09:13</v>
          </cell>
          <cell r="H129" t="str">
            <v>00:00:00</v>
          </cell>
          <cell r="I129" t="str">
            <v>01:19:32</v>
          </cell>
        </row>
        <row r="130">
          <cell r="A130" t="str">
            <v>Del_Shyamal Malakar (1008640)</v>
          </cell>
          <cell r="B130" t="str">
            <v>00:39:28</v>
          </cell>
          <cell r="C130" t="str">
            <v>00:29:21</v>
          </cell>
          <cell r="D130" t="str">
            <v>00:00:00</v>
          </cell>
          <cell r="E130" t="str">
            <v>00:52:47</v>
          </cell>
          <cell r="F130" t="str">
            <v>02:31:52</v>
          </cell>
          <cell r="G130" t="str">
            <v>00:00:00</v>
          </cell>
          <cell r="H130" t="str">
            <v>00:00:00</v>
          </cell>
          <cell r="I130" t="str">
            <v>04:35:37</v>
          </cell>
        </row>
        <row r="131">
          <cell r="A131" t="str">
            <v>Del_Sneh Khan (1008641)</v>
          </cell>
          <cell r="B131" t="str">
            <v>00:39:49</v>
          </cell>
          <cell r="C131" t="str">
            <v>00:29:51</v>
          </cell>
          <cell r="D131" t="str">
            <v>00:00:00</v>
          </cell>
          <cell r="E131" t="str">
            <v>00:00:00</v>
          </cell>
          <cell r="F131" t="str">
            <v>00:00:00</v>
          </cell>
          <cell r="G131" t="str">
            <v>00:00:00</v>
          </cell>
          <cell r="H131" t="str">
            <v>00:00:00</v>
          </cell>
          <cell r="I131" t="str">
            <v>01:09:51</v>
          </cell>
        </row>
        <row r="132">
          <cell r="A132" t="str">
            <v>Del_Sonaram Munda (1008642)</v>
          </cell>
          <cell r="B132" t="str">
            <v>00:39:48</v>
          </cell>
          <cell r="C132" t="str">
            <v>00:29:45</v>
          </cell>
          <cell r="D132" t="str">
            <v>00:00:00</v>
          </cell>
          <cell r="E132" t="str">
            <v>00:00:00</v>
          </cell>
          <cell r="F132" t="str">
            <v>00:00:00</v>
          </cell>
          <cell r="G132" t="str">
            <v>00:00:00</v>
          </cell>
          <cell r="H132" t="str">
            <v>00:47:26</v>
          </cell>
          <cell r="I132" t="str">
            <v>01:57:15</v>
          </cell>
        </row>
        <row r="133">
          <cell r="A133" t="str">
            <v>Del_Sudama Kumar (1008643)</v>
          </cell>
          <cell r="B133" t="str">
            <v>00:39:05</v>
          </cell>
          <cell r="C133" t="str">
            <v>00:15:16</v>
          </cell>
          <cell r="D133" t="str">
            <v>00:00:00</v>
          </cell>
          <cell r="E133" t="str">
            <v>00:00:00</v>
          </cell>
          <cell r="F133" t="str">
            <v>00:00:00</v>
          </cell>
          <cell r="G133" t="str">
            <v>00:00:00</v>
          </cell>
          <cell r="H133" t="str">
            <v>03:40:36</v>
          </cell>
          <cell r="I133" t="str">
            <v>04:36:20</v>
          </cell>
        </row>
        <row r="134">
          <cell r="A134" t="str">
            <v>Del_Sudhir Kumar (1008644)</v>
          </cell>
          <cell r="B134" t="str">
            <v>00:43:27</v>
          </cell>
          <cell r="C134" t="str">
            <v>00:28:35</v>
          </cell>
          <cell r="D134" t="str">
            <v>00:00:00</v>
          </cell>
          <cell r="E134" t="str">
            <v>00:00:00</v>
          </cell>
          <cell r="F134" t="str">
            <v>00:00:00</v>
          </cell>
          <cell r="G134" t="str">
            <v>00:00:00</v>
          </cell>
          <cell r="H134" t="str">
            <v>00:00:00</v>
          </cell>
          <cell r="I134" t="str">
            <v>01:14:24</v>
          </cell>
        </row>
        <row r="135">
          <cell r="A135" t="str">
            <v>Del_Sunil Kumar (1008645)</v>
          </cell>
          <cell r="B135" t="str">
            <v>00:40:09</v>
          </cell>
          <cell r="C135" t="str">
            <v>00:50:33</v>
          </cell>
          <cell r="D135" t="str">
            <v>00:00:02</v>
          </cell>
          <cell r="E135" t="str">
            <v>00:00:00</v>
          </cell>
          <cell r="F135" t="str">
            <v>00:00:00</v>
          </cell>
          <cell r="G135" t="str">
            <v>00:02:33</v>
          </cell>
          <cell r="H135" t="str">
            <v>02:22:56</v>
          </cell>
          <cell r="I135" t="str">
            <v>03:56:57</v>
          </cell>
        </row>
        <row r="136">
          <cell r="A136" t="str">
            <v>Del_Sunil Kumar (1008646)</v>
          </cell>
          <cell r="B136" t="str">
            <v>00:35:18</v>
          </cell>
          <cell r="C136" t="str">
            <v>00:28:46</v>
          </cell>
          <cell r="D136" t="str">
            <v>01:12:29</v>
          </cell>
          <cell r="E136" t="str">
            <v>00:00:00</v>
          </cell>
          <cell r="F136" t="str">
            <v>00:00:00</v>
          </cell>
          <cell r="G136" t="str">
            <v>00:00:00</v>
          </cell>
          <cell r="H136" t="str">
            <v>00:00:00</v>
          </cell>
          <cell r="I136" t="str">
            <v>02:16:51</v>
          </cell>
        </row>
        <row r="137">
          <cell r="A137" t="str">
            <v>Del_Sunita Chawla (1008647)</v>
          </cell>
          <cell r="B137" t="str">
            <v>00:40:03</v>
          </cell>
          <cell r="C137" t="str">
            <v>00:30:37</v>
          </cell>
          <cell r="D137" t="str">
            <v>00:00:00</v>
          </cell>
          <cell r="E137" t="str">
            <v>00:55:51</v>
          </cell>
          <cell r="F137" t="str">
            <v>00:00:00</v>
          </cell>
          <cell r="G137" t="str">
            <v>00:00:00</v>
          </cell>
          <cell r="H137" t="str">
            <v>00:00:00</v>
          </cell>
          <cell r="I137" t="str">
            <v>02:06:43</v>
          </cell>
        </row>
        <row r="138">
          <cell r="A138" t="str">
            <v>Del_Sunita Madnani (1008648)</v>
          </cell>
          <cell r="B138" t="str">
            <v>00:40:15</v>
          </cell>
          <cell r="C138" t="str">
            <v>00:27:30</v>
          </cell>
          <cell r="D138" t="str">
            <v>00:00:00</v>
          </cell>
          <cell r="E138" t="str">
            <v>00:00:00</v>
          </cell>
          <cell r="F138" t="str">
            <v>00:00:00</v>
          </cell>
          <cell r="G138" t="str">
            <v>00:00:00</v>
          </cell>
          <cell r="H138" t="str">
            <v>00:00:00</v>
          </cell>
          <cell r="I138" t="str">
            <v>01:08:15</v>
          </cell>
        </row>
        <row r="139">
          <cell r="A139" t="str">
            <v>Del_Surendra Kumar (1008649)</v>
          </cell>
          <cell r="B139" t="str">
            <v>00:00:00</v>
          </cell>
          <cell r="C139" t="str">
            <v>00:27:48</v>
          </cell>
          <cell r="D139" t="str">
            <v>00:00:00</v>
          </cell>
          <cell r="E139" t="str">
            <v>00:00:00</v>
          </cell>
          <cell r="F139" t="str">
            <v>03:18:17</v>
          </cell>
          <cell r="G139" t="str">
            <v>00:00:00</v>
          </cell>
          <cell r="H139" t="str">
            <v>00:00:00</v>
          </cell>
          <cell r="I139" t="str">
            <v>03:46:52</v>
          </cell>
        </row>
        <row r="140">
          <cell r="A140" t="str">
            <v>Del_Surendranath Thakur (1008650)</v>
          </cell>
          <cell r="B140" t="str">
            <v>00:39:42</v>
          </cell>
          <cell r="C140" t="str">
            <v>00:29:22</v>
          </cell>
          <cell r="D140" t="str">
            <v>01:05:59</v>
          </cell>
          <cell r="E140" t="str">
            <v>00:00:00</v>
          </cell>
          <cell r="F140" t="str">
            <v>00:00:00</v>
          </cell>
          <cell r="G140" t="str">
            <v>00:00:00</v>
          </cell>
          <cell r="H140" t="str">
            <v>00:00:00</v>
          </cell>
          <cell r="I140" t="str">
            <v>02:17:05</v>
          </cell>
        </row>
        <row r="141">
          <cell r="A141" t="str">
            <v>Del_Sushma Khandelwal (1008651)</v>
          </cell>
          <cell r="B141" t="str">
            <v>00:40:10</v>
          </cell>
          <cell r="C141" t="str">
            <v>00:30:01</v>
          </cell>
          <cell r="D141" t="str">
            <v>00:00:00</v>
          </cell>
          <cell r="E141" t="str">
            <v>00:00:00</v>
          </cell>
          <cell r="F141" t="str">
            <v>00:00:00</v>
          </cell>
          <cell r="G141" t="str">
            <v>00:00:00</v>
          </cell>
          <cell r="H141" t="str">
            <v>00:00:00</v>
          </cell>
          <cell r="I141" t="str">
            <v>01:10:21</v>
          </cell>
        </row>
        <row r="142">
          <cell r="A142" t="str">
            <v>Del_Swarnlata Borse (1008652)</v>
          </cell>
          <cell r="B142" t="str">
            <v>00:39:22</v>
          </cell>
          <cell r="C142" t="str">
            <v>00:28:37</v>
          </cell>
          <cell r="D142" t="str">
            <v>00:00:00</v>
          </cell>
          <cell r="E142" t="str">
            <v>00:54:22</v>
          </cell>
          <cell r="F142" t="str">
            <v>02:30:10</v>
          </cell>
          <cell r="G142" t="str">
            <v>00:00:00</v>
          </cell>
          <cell r="H142" t="str">
            <v>00:00:00</v>
          </cell>
          <cell r="I142" t="str">
            <v>04:32:37</v>
          </cell>
        </row>
        <row r="143">
          <cell r="A143" t="str">
            <v>Del_Syed Naved (1008653)</v>
          </cell>
          <cell r="B143" t="str">
            <v>00:34:44</v>
          </cell>
          <cell r="C143" t="str">
            <v>00:29:32</v>
          </cell>
          <cell r="D143" t="str">
            <v>00:00:00</v>
          </cell>
          <cell r="E143" t="str">
            <v>00:00:00</v>
          </cell>
          <cell r="F143" t="str">
            <v>00:00:00</v>
          </cell>
          <cell r="G143" t="str">
            <v>00:00:00</v>
          </cell>
          <cell r="H143" t="str">
            <v>00:00:00</v>
          </cell>
          <cell r="I143" t="str">
            <v>01:14:44</v>
          </cell>
        </row>
        <row r="144">
          <cell r="A144" t="str">
            <v>Del_Syed Saqib (1008654)</v>
          </cell>
          <cell r="B144" t="str">
            <v>00:37:49</v>
          </cell>
          <cell r="C144" t="str">
            <v>00:30:51</v>
          </cell>
          <cell r="D144" t="str">
            <v>00:00:00</v>
          </cell>
          <cell r="E144" t="str">
            <v>00:00:00</v>
          </cell>
          <cell r="F144" t="str">
            <v>00:00:00</v>
          </cell>
          <cell r="G144" t="str">
            <v>00:00:00</v>
          </cell>
          <cell r="H144" t="str">
            <v>03:54:15</v>
          </cell>
          <cell r="I144" t="str">
            <v>05:03:34</v>
          </cell>
        </row>
        <row r="145">
          <cell r="A145" t="str">
            <v>Del_Syed Sohail (1008655)</v>
          </cell>
          <cell r="B145" t="str">
            <v>00:39:45</v>
          </cell>
          <cell r="C145" t="str">
            <v>00:32:08</v>
          </cell>
          <cell r="D145" t="str">
            <v>00:00:00</v>
          </cell>
          <cell r="E145" t="str">
            <v>00:00:00</v>
          </cell>
          <cell r="F145" t="str">
            <v>00:00:00</v>
          </cell>
          <cell r="G145" t="str">
            <v>00:00:00</v>
          </cell>
          <cell r="H145" t="str">
            <v>00:00:00</v>
          </cell>
          <cell r="I145" t="str">
            <v>01:12:04</v>
          </cell>
        </row>
        <row r="146">
          <cell r="A146" t="str">
            <v>Del_System Operator (1008656)</v>
          </cell>
          <cell r="B146" t="str">
            <v>00:40:00</v>
          </cell>
          <cell r="C146" t="str">
            <v>00:14:57</v>
          </cell>
          <cell r="D146" t="str">
            <v>00:00:00</v>
          </cell>
          <cell r="E146" t="str">
            <v>00:00:00</v>
          </cell>
          <cell r="F146" t="str">
            <v>00:00:00</v>
          </cell>
          <cell r="G146" t="str">
            <v>00:00:00</v>
          </cell>
          <cell r="H146" t="str">
            <v>00:00:00</v>
          </cell>
          <cell r="I146" t="str">
            <v>00:56:05</v>
          </cell>
        </row>
        <row r="147">
          <cell r="A147" t="str">
            <v>Del_Tahira Qureshi (1008657)</v>
          </cell>
          <cell r="B147" t="str">
            <v>00:43:30</v>
          </cell>
          <cell r="C147" t="str">
            <v>00:22:35</v>
          </cell>
          <cell r="D147" t="str">
            <v>00:00:00</v>
          </cell>
          <cell r="E147" t="str">
            <v>01:06:22</v>
          </cell>
          <cell r="F147" t="str">
            <v>00:00:00</v>
          </cell>
          <cell r="G147" t="str">
            <v>00:00:00</v>
          </cell>
          <cell r="H147" t="str">
            <v>01:47:33</v>
          </cell>
          <cell r="I147" t="str">
            <v>04:02:30</v>
          </cell>
        </row>
        <row r="148">
          <cell r="A148" t="str">
            <v>Del_Tapas Chakraborty (1008658)</v>
          </cell>
          <cell r="B148" t="str">
            <v>00:34:07</v>
          </cell>
          <cell r="C148" t="str">
            <v>00:35:28</v>
          </cell>
          <cell r="D148" t="str">
            <v>00:00:00</v>
          </cell>
          <cell r="E148" t="str">
            <v>00:00:00</v>
          </cell>
          <cell r="F148" t="str">
            <v>00:00:00</v>
          </cell>
          <cell r="G148" t="str">
            <v>00:00:00</v>
          </cell>
          <cell r="H148" t="str">
            <v>00:00:00</v>
          </cell>
          <cell r="I148" t="str">
            <v>01:12:11</v>
          </cell>
        </row>
        <row r="149">
          <cell r="A149" t="str">
            <v>Del_Tariq Akhlaq (1008659)</v>
          </cell>
          <cell r="B149" t="str">
            <v>00:00:00</v>
          </cell>
          <cell r="C149" t="str">
            <v>00:14:54</v>
          </cell>
          <cell r="D149" t="str">
            <v>00:00:00</v>
          </cell>
          <cell r="E149" t="str">
            <v>00:00:00</v>
          </cell>
          <cell r="F149" t="str">
            <v>00:00:00</v>
          </cell>
          <cell r="G149" t="str">
            <v>00:00:00</v>
          </cell>
          <cell r="H149" t="str">
            <v>00:00:00</v>
          </cell>
          <cell r="I149" t="str">
            <v>00:15:03</v>
          </cell>
        </row>
        <row r="150">
          <cell r="A150" t="str">
            <v>Del_Tasneem Khan (1008660)</v>
          </cell>
          <cell r="B150" t="str">
            <v>00:40:06</v>
          </cell>
          <cell r="C150" t="str">
            <v>00:29:10</v>
          </cell>
          <cell r="D150" t="str">
            <v>01:06:50</v>
          </cell>
          <cell r="E150" t="str">
            <v>00:00:00</v>
          </cell>
          <cell r="F150" t="str">
            <v>00:00:00</v>
          </cell>
          <cell r="G150" t="str">
            <v>00:00:00</v>
          </cell>
          <cell r="H150" t="str">
            <v>00:00:00</v>
          </cell>
          <cell r="I150" t="str">
            <v>02:16:51</v>
          </cell>
        </row>
      </sheetData>
      <sheetData sheetId="1">
        <row r="1">
          <cell r="A1" t="str">
            <v>Employee</v>
          </cell>
          <cell r="B1" t="str">
            <v>Total Working Hours</v>
          </cell>
          <cell r="C1" t="str">
            <v xml:space="preserve">Work Efficiency </v>
          </cell>
          <cell r="D1" t="str">
            <v>Attended Calls</v>
          </cell>
          <cell r="E1" t="str">
            <v>Efficiency in Percentage</v>
          </cell>
          <cell r="F1" t="str">
            <v>Active With Cust.</v>
          </cell>
          <cell r="G1" t="str">
            <v>Active Time</v>
          </cell>
          <cell r="H1" t="str">
            <v>Other</v>
          </cell>
          <cell r="I1" t="str">
            <v>Not Working %</v>
          </cell>
          <cell r="J1" t="str">
            <v>Call Keeping</v>
          </cell>
          <cell r="K1" t="str">
            <v>Break During Calls</v>
          </cell>
          <cell r="L1" t="str">
            <v>Non Break %</v>
          </cell>
          <cell r="M1" t="str">
            <v>% Other Work</v>
          </cell>
          <cell r="N1" t="str">
            <v>Long Time</v>
          </cell>
          <cell r="O1" t="str">
            <v>Short Time Holds</v>
          </cell>
          <cell r="P1" t="str">
            <v>Long Call Holds</v>
          </cell>
          <cell r="Q1" t="str">
            <v>No Hold</v>
          </cell>
        </row>
        <row r="2">
          <cell r="A2" t="str">
            <v>Mum_Abdul Hamid (1008512)</v>
          </cell>
          <cell r="B2" t="str">
            <v>08:15:43</v>
          </cell>
          <cell r="C2" t="str">
            <v>04:57:59</v>
          </cell>
          <cell r="D2">
            <v>98</v>
          </cell>
          <cell r="E2">
            <v>0.69541034616880604</v>
          </cell>
          <cell r="F2">
            <v>0.55697138822580095</v>
          </cell>
          <cell r="G2">
            <v>0.57848905624852898</v>
          </cell>
          <cell r="H2">
            <v>1.3448542514205001E-4</v>
          </cell>
          <cell r="I2">
            <v>0.25683354066503</v>
          </cell>
          <cell r="J2">
            <v>2.2492687355007899E-2</v>
          </cell>
          <cell r="K2">
            <v>0</v>
          </cell>
          <cell r="L2">
            <v>0.13858723060888301</v>
          </cell>
          <cell r="M2">
            <v>3.46299969740779E-3</v>
          </cell>
          <cell r="N2">
            <v>2</v>
          </cell>
          <cell r="O2">
            <v>3</v>
          </cell>
          <cell r="P2">
            <v>0</v>
          </cell>
          <cell r="Q2">
            <v>0</v>
          </cell>
        </row>
        <row r="3">
          <cell r="A3" t="str">
            <v>Mum_Afzal Husain (1008513)</v>
          </cell>
          <cell r="B3" t="str">
            <v>08:15:36</v>
          </cell>
          <cell r="C3" t="str">
            <v>04:58:34</v>
          </cell>
          <cell r="D3">
            <v>23</v>
          </cell>
          <cell r="E3">
            <v>0.70127226463104297</v>
          </cell>
          <cell r="F3">
            <v>0.58027306967984904</v>
          </cell>
          <cell r="G3">
            <v>0.58625907990314796</v>
          </cell>
          <cell r="H3">
            <v>3.3629270917406502E-5</v>
          </cell>
          <cell r="I3">
            <v>0.25373284907183202</v>
          </cell>
          <cell r="J3">
            <v>1.6142050040355099E-2</v>
          </cell>
          <cell r="K3">
            <v>0</v>
          </cell>
          <cell r="L3">
            <v>0.14120930858219</v>
          </cell>
          <cell r="M3">
            <v>2.6230831315577101E-3</v>
          </cell>
          <cell r="N3">
            <v>2</v>
          </cell>
          <cell r="O3">
            <v>1</v>
          </cell>
          <cell r="P3">
            <v>0</v>
          </cell>
          <cell r="Q3">
            <v>0</v>
          </cell>
        </row>
        <row r="4">
          <cell r="A4" t="str">
            <v>Mum_Anamika Gupta (1008514)</v>
          </cell>
          <cell r="B4" t="str">
            <v>08:16:57</v>
          </cell>
          <cell r="C4" t="str">
            <v>04:49:35</v>
          </cell>
          <cell r="D4">
            <v>28</v>
          </cell>
          <cell r="E4">
            <v>0.67767853660439203</v>
          </cell>
          <cell r="F4">
            <v>0.51708756749505302</v>
          </cell>
          <cell r="G4">
            <v>0.54036288023610701</v>
          </cell>
          <cell r="H4">
            <v>1.9653217962907098E-2</v>
          </cell>
          <cell r="I4">
            <v>0.26454707046315901</v>
          </cell>
          <cell r="J4">
            <v>2.27051681926418E-2</v>
          </cell>
          <cell r="K4">
            <v>0</v>
          </cell>
          <cell r="L4">
            <v>0.14870711339168899</v>
          </cell>
          <cell r="M4">
            <v>4.0245497534963301E-3</v>
          </cell>
          <cell r="N4">
            <v>6</v>
          </cell>
          <cell r="O4">
            <v>3</v>
          </cell>
          <cell r="P4">
            <v>4</v>
          </cell>
          <cell r="Q4">
            <v>1</v>
          </cell>
        </row>
        <row r="5">
          <cell r="A5" t="str">
            <v>Mum_Anikuttan (1008515)</v>
          </cell>
          <cell r="B5" t="str">
            <v>08:09:56</v>
          </cell>
          <cell r="C5" t="str">
            <v>04:17:32</v>
          </cell>
          <cell r="D5">
            <v>29</v>
          </cell>
          <cell r="E5">
            <v>0.72067534163518499</v>
          </cell>
          <cell r="F5">
            <v>0.47720778337188702</v>
          </cell>
          <cell r="G5">
            <v>0.49802694244114798</v>
          </cell>
          <cell r="H5">
            <v>6.8036467546604999E-5</v>
          </cell>
          <cell r="I5">
            <v>0.18356238944073999</v>
          </cell>
          <cell r="J5">
            <v>2.7554769356374999E-2</v>
          </cell>
          <cell r="K5">
            <v>0</v>
          </cell>
          <cell r="L5">
            <v>0.28378010613688898</v>
          </cell>
          <cell r="M5">
            <v>7.0077561573003103E-3</v>
          </cell>
          <cell r="N5">
            <v>1</v>
          </cell>
          <cell r="O5">
            <v>2</v>
          </cell>
          <cell r="P5">
            <v>0</v>
          </cell>
          <cell r="Q5">
            <v>0</v>
          </cell>
        </row>
        <row r="6">
          <cell r="A6" t="str">
            <v>Mum_Anil Kumar (1008516)</v>
          </cell>
          <cell r="B6" t="str">
            <v>07:20:41</v>
          </cell>
          <cell r="C6" t="str">
            <v>03:19:44</v>
          </cell>
          <cell r="D6">
            <v>93</v>
          </cell>
          <cell r="E6">
            <v>0.77990368345698302</v>
          </cell>
          <cell r="F6">
            <v>0.43288831738587802</v>
          </cell>
          <cell r="G6">
            <v>0.43496842025642002</v>
          </cell>
          <cell r="H6">
            <v>3.7820052191672E-4</v>
          </cell>
          <cell r="I6">
            <v>0.113649256835974</v>
          </cell>
          <cell r="J6">
            <v>1.7888884686660899E-2</v>
          </cell>
          <cell r="K6">
            <v>0</v>
          </cell>
          <cell r="L6">
            <v>0.419726939223176</v>
          </cell>
          <cell r="M6">
            <v>1.3388298475851899E-2</v>
          </cell>
          <cell r="N6">
            <v>0</v>
          </cell>
          <cell r="O6">
            <v>4</v>
          </cell>
          <cell r="P6">
            <v>0</v>
          </cell>
          <cell r="Q6">
            <v>0</v>
          </cell>
        </row>
        <row r="7">
          <cell r="A7" t="str">
            <v>Mum_Anita Dixit (1008517)</v>
          </cell>
          <cell r="B7" t="str">
            <v>05:00:09</v>
          </cell>
          <cell r="C7" t="str">
            <v>03:41:19</v>
          </cell>
          <cell r="D7">
            <v>92</v>
          </cell>
          <cell r="E7">
            <v>0.77595979664582504</v>
          </cell>
          <cell r="F7">
            <v>0.65495030262646503</v>
          </cell>
          <cell r="G7">
            <v>0.65761563662613098</v>
          </cell>
          <cell r="H7">
            <v>8.5512799155977592E-3</v>
          </cell>
          <cell r="I7">
            <v>0.16269642956299599</v>
          </cell>
          <cell r="J7">
            <v>7.1186628907768307E-2</v>
          </cell>
          <cell r="K7">
            <v>0</v>
          </cell>
          <cell r="L7">
            <v>9.0343717030373694E-2</v>
          </cell>
          <cell r="M7">
            <v>9.6063079571325396E-3</v>
          </cell>
          <cell r="N7">
            <v>2</v>
          </cell>
          <cell r="O7">
            <v>8</v>
          </cell>
          <cell r="P7">
            <v>2</v>
          </cell>
          <cell r="Q7">
            <v>0</v>
          </cell>
        </row>
        <row r="8">
          <cell r="A8" t="str">
            <v>Mum_Anita Ghore (1008518)</v>
          </cell>
          <cell r="B8" t="str">
            <v>08:16:38</v>
          </cell>
          <cell r="C8" t="str">
            <v>04:12:46</v>
          </cell>
          <cell r="D8">
            <v>26</v>
          </cell>
          <cell r="E8">
            <v>0.75430219834875201</v>
          </cell>
          <cell r="F8">
            <v>0.49476474931203401</v>
          </cell>
          <cell r="G8">
            <v>0.50073830458419999</v>
          </cell>
          <cell r="H8">
            <v>0</v>
          </cell>
          <cell r="I8">
            <v>0.150547016578294</v>
          </cell>
          <cell r="J8">
            <v>8.1213504262031E-3</v>
          </cell>
          <cell r="K8">
            <v>0</v>
          </cell>
          <cell r="L8">
            <v>0.32559232163232399</v>
          </cell>
          <cell r="M8">
            <v>1.5001006778978501E-2</v>
          </cell>
          <cell r="N8">
            <v>0</v>
          </cell>
          <cell r="O8">
            <v>0</v>
          </cell>
          <cell r="P8">
            <v>0</v>
          </cell>
          <cell r="Q8">
            <v>0</v>
          </cell>
        </row>
        <row r="9">
          <cell r="A9" t="str">
            <v>Mum_Anjali Deoram (1008519)</v>
          </cell>
          <cell r="B9" t="str">
            <v>09:16:31</v>
          </cell>
          <cell r="C9" t="str">
            <v>05:52:08</v>
          </cell>
          <cell r="D9">
            <v>90</v>
          </cell>
          <cell r="E9">
            <v>0.72351208821313595</v>
          </cell>
          <cell r="F9">
            <v>0.55128627474469205</v>
          </cell>
          <cell r="G9">
            <v>0.58183342816926698</v>
          </cell>
          <cell r="H9">
            <v>8.6849749932616602E-3</v>
          </cell>
          <cell r="I9">
            <v>0.22793567128867101</v>
          </cell>
          <cell r="J9">
            <v>4.2226947381030798E-2</v>
          </cell>
          <cell r="K9">
            <v>0</v>
          </cell>
          <cell r="L9">
            <v>0.131472552484202</v>
          </cell>
          <cell r="M9">
            <v>7.8464256835674307E-3</v>
          </cell>
          <cell r="N9">
            <v>0</v>
          </cell>
          <cell r="O9">
            <v>8</v>
          </cell>
          <cell r="P9">
            <v>3</v>
          </cell>
          <cell r="Q9">
            <v>1</v>
          </cell>
        </row>
        <row r="10">
          <cell r="A10" t="str">
            <v>Mum_Anjali Sahay (1008520)</v>
          </cell>
          <cell r="B10" t="str">
            <v>08:13:18</v>
          </cell>
          <cell r="C10" t="str">
            <v>04:52:29</v>
          </cell>
          <cell r="D10">
            <v>89</v>
          </cell>
          <cell r="E10">
            <v>0.68246869409660105</v>
          </cell>
          <cell r="F10">
            <v>0.55206432867085597</v>
          </cell>
          <cell r="G10">
            <v>0.57530914250962895</v>
          </cell>
          <cell r="H10">
            <v>7.0950739914859098E-4</v>
          </cell>
          <cell r="I10">
            <v>0.26559226974795602</v>
          </cell>
          <cell r="J10">
            <v>1.68930333130617E-2</v>
          </cell>
          <cell r="K10">
            <v>0</v>
          </cell>
          <cell r="L10">
            <v>0.135110480437867</v>
          </cell>
          <cell r="M10">
            <v>6.3855665923373203E-3</v>
          </cell>
          <cell r="N10">
            <v>4</v>
          </cell>
          <cell r="O10">
            <v>0</v>
          </cell>
          <cell r="P10">
            <v>0</v>
          </cell>
          <cell r="Q10">
            <v>0</v>
          </cell>
        </row>
        <row r="11">
          <cell r="A11" t="str">
            <v>Mum_Annu Latika (1008521)</v>
          </cell>
          <cell r="B11" t="str">
            <v>08:20:41</v>
          </cell>
          <cell r="C11" t="str">
            <v>04:58:07</v>
          </cell>
          <cell r="D11">
            <v>54</v>
          </cell>
          <cell r="E11">
            <v>0.69192681134192102</v>
          </cell>
          <cell r="F11">
            <v>0.56868945774108703</v>
          </cell>
          <cell r="G11">
            <v>0.58520022635731195</v>
          </cell>
          <cell r="H11">
            <v>1.6643919976032801E-4</v>
          </cell>
          <cell r="I11">
            <v>0.26120968010385798</v>
          </cell>
          <cell r="J11">
            <v>1.0052927665523801E-2</v>
          </cell>
          <cell r="K11">
            <v>0</v>
          </cell>
          <cell r="L11">
            <v>0.13970906427881899</v>
          </cell>
          <cell r="M11">
            <v>3.6616623947272101E-3</v>
          </cell>
          <cell r="N11">
            <v>2</v>
          </cell>
          <cell r="O11">
            <v>0</v>
          </cell>
          <cell r="P11">
            <v>0</v>
          </cell>
          <cell r="Q11">
            <v>0</v>
          </cell>
        </row>
        <row r="12">
          <cell r="A12" t="str">
            <v>Mum_Anoop Narayan (1008522)</v>
          </cell>
          <cell r="B12" t="str">
            <v>08:10:35</v>
          </cell>
          <cell r="C12" t="str">
            <v>04:55:28</v>
          </cell>
          <cell r="D12">
            <v>87</v>
          </cell>
          <cell r="E12">
            <v>0.70101625212542995</v>
          </cell>
          <cell r="F12">
            <v>0.56035332087650802</v>
          </cell>
          <cell r="G12">
            <v>0.56901647698318303</v>
          </cell>
          <cell r="H12">
            <v>1.06675726176321E-2</v>
          </cell>
          <cell r="I12">
            <v>0.24987260064549</v>
          </cell>
          <cell r="J12">
            <v>2.2592152199762201E-2</v>
          </cell>
          <cell r="K12">
            <v>0</v>
          </cell>
          <cell r="L12">
            <v>0.14115848479700999</v>
          </cell>
          <cell r="M12">
            <v>6.6927127569220302E-3</v>
          </cell>
          <cell r="N12">
            <v>2</v>
          </cell>
          <cell r="O12">
            <v>3</v>
          </cell>
          <cell r="P12">
            <v>3</v>
          </cell>
          <cell r="Q12">
            <v>0</v>
          </cell>
        </row>
        <row r="13">
          <cell r="A13" t="str">
            <v>Mum_Anoop Raj (1008523)</v>
          </cell>
          <cell r="B13" t="str">
            <v>08:04:10</v>
          </cell>
          <cell r="C13" t="str">
            <v>03:47:42</v>
          </cell>
          <cell r="D13">
            <v>65</v>
          </cell>
          <cell r="E13">
            <v>0.71237876733757399</v>
          </cell>
          <cell r="F13">
            <v>0.41552495697073999</v>
          </cell>
          <cell r="G13">
            <v>0.42578313253012001</v>
          </cell>
          <cell r="H13">
            <v>0</v>
          </cell>
          <cell r="I13">
            <v>0.146161790017212</v>
          </cell>
          <cell r="J13">
            <v>4.4509466437177299E-2</v>
          </cell>
          <cell r="K13">
            <v>0</v>
          </cell>
          <cell r="L13">
            <v>0.37445783132530103</v>
          </cell>
          <cell r="M13">
            <v>9.08777969018933E-3</v>
          </cell>
          <cell r="N13">
            <v>0</v>
          </cell>
          <cell r="O13">
            <v>8</v>
          </cell>
          <cell r="P13">
            <v>0</v>
          </cell>
          <cell r="Q13">
            <v>0</v>
          </cell>
        </row>
        <row r="14">
          <cell r="A14" t="str">
            <v>Mum_Anubhuti Gupta (1008524)</v>
          </cell>
          <cell r="B14" t="str">
            <v>08:14:38</v>
          </cell>
          <cell r="C14" t="str">
            <v>04:43:40</v>
          </cell>
          <cell r="D14">
            <v>85</v>
          </cell>
          <cell r="E14">
            <v>0.76961338458060102</v>
          </cell>
          <cell r="F14">
            <v>0.50026955994339195</v>
          </cell>
          <cell r="G14">
            <v>0.51627468158231704</v>
          </cell>
          <cell r="H14">
            <v>1.3477997169620599E-4</v>
          </cell>
          <cell r="I14">
            <v>0.16628479008019401</v>
          </cell>
          <cell r="J14">
            <v>5.7079318013343198E-2</v>
          </cell>
          <cell r="K14">
            <v>0</v>
          </cell>
          <cell r="L14">
            <v>0.25611564121571501</v>
          </cell>
          <cell r="M14">
            <v>4.1107891367342803E-3</v>
          </cell>
          <cell r="N14">
            <v>1</v>
          </cell>
          <cell r="O14">
            <v>9</v>
          </cell>
          <cell r="P14">
            <v>0</v>
          </cell>
          <cell r="Q14">
            <v>0</v>
          </cell>
        </row>
        <row r="15">
          <cell r="A15" t="str">
            <v>Mum_Arun Kumar (1008525)</v>
          </cell>
          <cell r="B15" t="str">
            <v>07:59:50</v>
          </cell>
          <cell r="C15" t="str">
            <v>04:40:27</v>
          </cell>
          <cell r="D15">
            <v>65</v>
          </cell>
          <cell r="E15">
            <v>0.68466452374171005</v>
          </cell>
          <cell r="F15">
            <v>0.51396318166029897</v>
          </cell>
          <cell r="G15">
            <v>0.53136505731156702</v>
          </cell>
          <cell r="H15">
            <v>8.7877735324765494E-3</v>
          </cell>
          <cell r="I15">
            <v>0.26231330323028801</v>
          </cell>
          <cell r="J15">
            <v>4.4320944772490399E-2</v>
          </cell>
          <cell r="K15">
            <v>0</v>
          </cell>
          <cell r="L15">
            <v>0.14706495310871801</v>
          </cell>
          <cell r="M15">
            <v>6.1479680444598804E-3</v>
          </cell>
          <cell r="N15">
            <v>1</v>
          </cell>
          <cell r="O15">
            <v>8</v>
          </cell>
          <cell r="P15">
            <v>3</v>
          </cell>
          <cell r="Q15">
            <v>1</v>
          </cell>
        </row>
        <row r="16">
          <cell r="A16" t="str">
            <v>Mum_Ashish Kumar (1008526)</v>
          </cell>
          <cell r="B16" t="str">
            <v>08:16:59</v>
          </cell>
          <cell r="C16" t="str">
            <v>04:57:35</v>
          </cell>
          <cell r="D16">
            <v>83</v>
          </cell>
          <cell r="E16">
            <v>0.69277926512241494</v>
          </cell>
          <cell r="F16">
            <v>0.510580502364264</v>
          </cell>
          <cell r="G16">
            <v>0.53895167510647601</v>
          </cell>
          <cell r="H16">
            <v>2.8069351755592099E-2</v>
          </cell>
          <cell r="I16">
            <v>0.236694724839867</v>
          </cell>
          <cell r="J16">
            <v>3.17582749253831E-2</v>
          </cell>
          <cell r="K16">
            <v>0</v>
          </cell>
          <cell r="L16">
            <v>0.15490123746604501</v>
          </cell>
          <cell r="M16">
            <v>9.6247359066367107E-3</v>
          </cell>
          <cell r="N16">
            <v>2</v>
          </cell>
          <cell r="O16">
            <v>4</v>
          </cell>
          <cell r="P16">
            <v>7</v>
          </cell>
          <cell r="Q16">
            <v>0</v>
          </cell>
        </row>
        <row r="17">
          <cell r="A17" t="str">
            <v>Mum_Ashok Kumar (1008527)</v>
          </cell>
          <cell r="B17" t="str">
            <v>08:17:15</v>
          </cell>
          <cell r="C17" t="str">
            <v>04:10:25</v>
          </cell>
          <cell r="D17">
            <v>82</v>
          </cell>
          <cell r="E17">
            <v>0.707991706719442</v>
          </cell>
          <cell r="F17">
            <v>0.48292274174627098</v>
          </cell>
          <cell r="G17">
            <v>0.48536953242835601</v>
          </cell>
          <cell r="H17">
            <v>2.0110608345902501E-4</v>
          </cell>
          <cell r="I17">
            <v>0.203251215015921</v>
          </cell>
          <cell r="J17">
            <v>1.8032512150159202E-2</v>
          </cell>
          <cell r="K17">
            <v>0</v>
          </cell>
          <cell r="L17">
            <v>0.29026311379252601</v>
          </cell>
          <cell r="M17">
            <v>2.88252052957935E-3</v>
          </cell>
          <cell r="N17">
            <v>2</v>
          </cell>
          <cell r="O17">
            <v>1</v>
          </cell>
          <cell r="P17">
            <v>0</v>
          </cell>
          <cell r="Q17">
            <v>0</v>
          </cell>
        </row>
        <row r="18">
          <cell r="A18" t="str">
            <v>Hyd_Ashok Kumar (1008528)</v>
          </cell>
          <cell r="B18" t="str">
            <v>07:53:01</v>
          </cell>
          <cell r="C18" t="str">
            <v>04:44:12</v>
          </cell>
          <cell r="D18">
            <v>81</v>
          </cell>
          <cell r="E18">
            <v>0.67538022813688203</v>
          </cell>
          <cell r="F18">
            <v>0.57362319861879396</v>
          </cell>
          <cell r="G18">
            <v>0.586131566893344</v>
          </cell>
          <cell r="H18">
            <v>0</v>
          </cell>
          <cell r="I18">
            <v>0.27373947359148698</v>
          </cell>
          <cell r="J18">
            <v>1.4692928367569901E-2</v>
          </cell>
          <cell r="K18">
            <v>0</v>
          </cell>
          <cell r="L18">
            <v>0.11941087347168899</v>
          </cell>
          <cell r="M18">
            <v>6.0251576759099397E-3</v>
          </cell>
          <cell r="N18">
            <v>1</v>
          </cell>
          <cell r="O18">
            <v>1</v>
          </cell>
          <cell r="P18">
            <v>0</v>
          </cell>
          <cell r="Q18">
            <v>1</v>
          </cell>
        </row>
        <row r="19">
          <cell r="A19" t="str">
            <v>Hyd_Ashok Kumar (1008529)</v>
          </cell>
          <cell r="B19" t="str">
            <v>08:16:43</v>
          </cell>
          <cell r="C19" t="str">
            <v>04:58:07</v>
          </cell>
          <cell r="D19">
            <v>80</v>
          </cell>
          <cell r="E19">
            <v>0.69849265854420495</v>
          </cell>
          <cell r="F19">
            <v>0.56430560681810604</v>
          </cell>
          <cell r="G19">
            <v>0.59161829346038997</v>
          </cell>
          <cell r="H19">
            <v>0</v>
          </cell>
          <cell r="I19">
            <v>0.25480656309767502</v>
          </cell>
          <cell r="J19">
            <v>8.5561856188974307E-3</v>
          </cell>
          <cell r="K19">
            <v>0</v>
          </cell>
          <cell r="L19">
            <v>0.14116028587726101</v>
          </cell>
          <cell r="M19">
            <v>3.85867194577727E-3</v>
          </cell>
          <cell r="N19">
            <v>2</v>
          </cell>
          <cell r="O19">
            <v>0</v>
          </cell>
          <cell r="P19">
            <v>0</v>
          </cell>
          <cell r="Q19">
            <v>0</v>
          </cell>
        </row>
        <row r="20">
          <cell r="A20" t="str">
            <v>Hyd_Ashok Kumar (1008530)</v>
          </cell>
          <cell r="B20" t="str">
            <v>08:21:16</v>
          </cell>
          <cell r="C20" t="str">
            <v>04:23:03</v>
          </cell>
          <cell r="D20">
            <v>79</v>
          </cell>
          <cell r="E20">
            <v>0.76545904263058295</v>
          </cell>
          <cell r="F20">
            <v>0.46974331693044302</v>
          </cell>
          <cell r="G20">
            <v>0.47862082723766403</v>
          </cell>
          <cell r="H20">
            <v>2.1379172762335402E-2</v>
          </cell>
          <cell r="I20">
            <v>0.14938821651815401</v>
          </cell>
          <cell r="J20">
            <v>2.4770581194307799E-2</v>
          </cell>
          <cell r="K20">
            <v>0</v>
          </cell>
          <cell r="L20">
            <v>0.31952387285543299</v>
          </cell>
          <cell r="M20">
            <v>6.3173294321053298E-3</v>
          </cell>
          <cell r="N20">
            <v>6</v>
          </cell>
          <cell r="O20">
            <v>5</v>
          </cell>
          <cell r="P20">
            <v>3</v>
          </cell>
          <cell r="Q20">
            <v>0</v>
          </cell>
        </row>
        <row r="21">
          <cell r="A21" t="str">
            <v>Hyd_Ashok Mahto (1008531)</v>
          </cell>
          <cell r="B21" t="str">
            <v>08:17:52</v>
          </cell>
          <cell r="C21" t="str">
            <v>04:58:14</v>
          </cell>
          <cell r="D21">
            <v>78</v>
          </cell>
          <cell r="E21">
            <v>0.69862960215515602</v>
          </cell>
          <cell r="F21">
            <v>0.57495313336904097</v>
          </cell>
          <cell r="G21">
            <v>0.58205008034279604</v>
          </cell>
          <cell r="H21">
            <v>3.84975897161221E-3</v>
          </cell>
          <cell r="I21">
            <v>0.24769014461703301</v>
          </cell>
          <cell r="J21">
            <v>1.3122656668452099E-2</v>
          </cell>
          <cell r="K21">
            <v>0</v>
          </cell>
          <cell r="L21">
            <v>0.14963845741831799</v>
          </cell>
          <cell r="M21">
            <v>3.64890198178897E-3</v>
          </cell>
          <cell r="N21">
            <v>4</v>
          </cell>
          <cell r="O21">
            <v>1</v>
          </cell>
          <cell r="P21">
            <v>1</v>
          </cell>
          <cell r="Q21">
            <v>0</v>
          </cell>
        </row>
        <row r="22">
          <cell r="A22" t="str">
            <v>Hyd_Atul Kumar (1008532)</v>
          </cell>
          <cell r="B22" t="str">
            <v>08:13:41</v>
          </cell>
          <cell r="C22" t="str">
            <v>04:53:40</v>
          </cell>
          <cell r="D22">
            <v>77</v>
          </cell>
          <cell r="E22">
            <v>0.68750243864372396</v>
          </cell>
          <cell r="F22">
            <v>0.57945376590932096</v>
          </cell>
          <cell r="G22">
            <v>0.58620573241956697</v>
          </cell>
          <cell r="H22">
            <v>1.01279497653692E-4</v>
          </cell>
          <cell r="I22">
            <v>0.255865770905776</v>
          </cell>
          <cell r="J22">
            <v>8.5412376354613295E-3</v>
          </cell>
          <cell r="K22">
            <v>0</v>
          </cell>
          <cell r="L22">
            <v>0.13568076702339499</v>
          </cell>
          <cell r="M22">
            <v>1.36052125181459E-2</v>
          </cell>
          <cell r="N22">
            <v>2</v>
          </cell>
          <cell r="O22">
            <v>0</v>
          </cell>
          <cell r="P22">
            <v>0</v>
          </cell>
          <cell r="Q22">
            <v>0</v>
          </cell>
        </row>
        <row r="23">
          <cell r="A23" t="str">
            <v>Hyd_Azam (1008533)</v>
          </cell>
          <cell r="B23" t="str">
            <v>08:17:34</v>
          </cell>
          <cell r="C23" t="str">
            <v>04:59:50</v>
          </cell>
          <cell r="D23">
            <v>76</v>
          </cell>
          <cell r="E23">
            <v>0.69910231997823802</v>
          </cell>
          <cell r="F23">
            <v>0.588296375695049</v>
          </cell>
          <cell r="G23">
            <v>0.58993769679105001</v>
          </cell>
          <cell r="H23">
            <v>1.0048904669391E-4</v>
          </cell>
          <cell r="I23">
            <v>0.25467274067126699</v>
          </cell>
          <cell r="J23">
            <v>1.25611308367388E-2</v>
          </cell>
          <cell r="K23">
            <v>0</v>
          </cell>
          <cell r="L23">
            <v>0.140249212835801</v>
          </cell>
          <cell r="M23">
            <v>2.47872981844979E-3</v>
          </cell>
          <cell r="N23">
            <v>3</v>
          </cell>
          <cell r="O23">
            <v>1</v>
          </cell>
          <cell r="P23">
            <v>0</v>
          </cell>
          <cell r="Q23">
            <v>0</v>
          </cell>
        </row>
        <row r="24">
          <cell r="A24" t="str">
            <v>Hyd_Bhagwat Singh (1008534)</v>
          </cell>
          <cell r="B24" t="str">
            <v>07:41:44</v>
          </cell>
          <cell r="C24" t="str">
            <v>04:08:57</v>
          </cell>
          <cell r="D24">
            <v>75</v>
          </cell>
          <cell r="E24">
            <v>0.74890950112810195</v>
          </cell>
          <cell r="F24">
            <v>0.46267686976609901</v>
          </cell>
          <cell r="G24">
            <v>0.46527577245163099</v>
          </cell>
          <cell r="H24">
            <v>4.4397920877851599E-3</v>
          </cell>
          <cell r="I24">
            <v>0.17622004042737499</v>
          </cell>
          <cell r="J24">
            <v>6.9448455096736902E-2</v>
          </cell>
          <cell r="K24">
            <v>0</v>
          </cell>
          <cell r="L24">
            <v>0.28219751660409997</v>
          </cell>
          <cell r="M24">
            <v>2.41842333237078E-3</v>
          </cell>
          <cell r="N24">
            <v>1</v>
          </cell>
          <cell r="O24">
            <v>7</v>
          </cell>
          <cell r="P24">
            <v>1</v>
          </cell>
          <cell r="Q24">
            <v>0</v>
          </cell>
        </row>
        <row r="25">
          <cell r="A25" t="str">
            <v>Hyd_Bindu Nair (1008535)</v>
          </cell>
          <cell r="B25" t="str">
            <v>08:10:04</v>
          </cell>
          <cell r="C25" t="str">
            <v>04:14:05</v>
          </cell>
          <cell r="D25">
            <v>74</v>
          </cell>
          <cell r="E25">
            <v>0.70775301764159704</v>
          </cell>
          <cell r="F25">
            <v>0.478030199972793</v>
          </cell>
          <cell r="G25">
            <v>0.49663311114134101</v>
          </cell>
          <cell r="H25">
            <v>1.1563052645898501E-3</v>
          </cell>
          <cell r="I25">
            <v>0.21000544143653899</v>
          </cell>
          <cell r="J25">
            <v>2.0677458849136202E-2</v>
          </cell>
          <cell r="K25">
            <v>0</v>
          </cell>
          <cell r="L25">
            <v>0.26788872262277202</v>
          </cell>
          <cell r="M25">
            <v>3.6389606856210002E-3</v>
          </cell>
          <cell r="N25">
            <v>1</v>
          </cell>
          <cell r="O25">
            <v>2</v>
          </cell>
          <cell r="P25">
            <v>0</v>
          </cell>
          <cell r="Q25">
            <v>1</v>
          </cell>
        </row>
        <row r="26">
          <cell r="A26" t="str">
            <v>Hyd_Daleep Singh (1008536)</v>
          </cell>
          <cell r="B26" t="str">
            <v>08:14:20</v>
          </cell>
          <cell r="C26" t="str">
            <v>05:26:56</v>
          </cell>
          <cell r="D26">
            <v>73</v>
          </cell>
          <cell r="E26">
            <v>0.76297160637884098</v>
          </cell>
          <cell r="F26">
            <v>0.59983142279163904</v>
          </cell>
          <cell r="G26">
            <v>0.60182063385030304</v>
          </cell>
          <cell r="H26">
            <v>1.49359406608227E-2</v>
          </cell>
          <cell r="I26">
            <v>0.17107215104517901</v>
          </cell>
          <cell r="J26">
            <v>4.46055293324343E-2</v>
          </cell>
          <cell r="K26">
            <v>0</v>
          </cell>
          <cell r="L26">
            <v>0.147471341874578</v>
          </cell>
          <cell r="M26">
            <v>2.00944032366824E-2</v>
          </cell>
          <cell r="N26">
            <v>1</v>
          </cell>
          <cell r="O26">
            <v>4</v>
          </cell>
          <cell r="P26">
            <v>1</v>
          </cell>
          <cell r="Q26">
            <v>1</v>
          </cell>
        </row>
        <row r="27">
          <cell r="A27" t="str">
            <v>Hyd_Deepak Kumar (1008537)</v>
          </cell>
          <cell r="B27" t="str">
            <v>07:35:57</v>
          </cell>
          <cell r="C27" t="str">
            <v>05:05:16</v>
          </cell>
          <cell r="D27">
            <v>72</v>
          </cell>
          <cell r="E27">
            <v>0.71468706102700197</v>
          </cell>
          <cell r="F27">
            <v>0.65029060203969702</v>
          </cell>
          <cell r="G27">
            <v>0.65098512263771602</v>
          </cell>
          <cell r="H27">
            <v>0</v>
          </cell>
          <cell r="I27">
            <v>0.25788646415908201</v>
          </cell>
          <cell r="J27">
            <v>1.8532733852396101E-2</v>
          </cell>
          <cell r="K27">
            <v>0</v>
          </cell>
          <cell r="L27">
            <v>6.6893299703914902E-2</v>
          </cell>
          <cell r="M27">
            <v>5.7023796468911097E-3</v>
          </cell>
          <cell r="N27">
            <v>1</v>
          </cell>
          <cell r="O27">
            <v>3</v>
          </cell>
          <cell r="P27">
            <v>0</v>
          </cell>
          <cell r="Q27">
            <v>0</v>
          </cell>
        </row>
        <row r="28">
          <cell r="A28" t="str">
            <v>Hyd_Deepika Nigam (1008538)</v>
          </cell>
          <cell r="B28" t="str">
            <v>08:16:59</v>
          </cell>
          <cell r="C28" t="str">
            <v>04:56:45</v>
          </cell>
          <cell r="D28">
            <v>71</v>
          </cell>
          <cell r="E28">
            <v>0.69474793194942996</v>
          </cell>
          <cell r="F28">
            <v>0.55001844461584903</v>
          </cell>
          <cell r="G28">
            <v>0.57443240886683</v>
          </cell>
          <cell r="H28">
            <v>1.23075891210302E-2</v>
          </cell>
          <cell r="I28">
            <v>0.25279184412622802</v>
          </cell>
          <cell r="J28">
            <v>1.0362520540594901E-2</v>
          </cell>
          <cell r="K28">
            <v>0</v>
          </cell>
          <cell r="L28">
            <v>0.14420336027365099</v>
          </cell>
          <cell r="M28">
            <v>5.9022770716657203E-3</v>
          </cell>
          <cell r="N28">
            <v>1</v>
          </cell>
          <cell r="O28">
            <v>0</v>
          </cell>
          <cell r="P28">
            <v>5</v>
          </cell>
          <cell r="Q28">
            <v>0</v>
          </cell>
        </row>
        <row r="29">
          <cell r="A29" t="str">
            <v>Hyd_Dinesh Kumar (1008539)</v>
          </cell>
          <cell r="B29" t="str">
            <v>08:13:53</v>
          </cell>
          <cell r="C29" t="str">
            <v>05:06:20</v>
          </cell>
          <cell r="D29">
            <v>70</v>
          </cell>
          <cell r="E29">
            <v>0.72208690186218305</v>
          </cell>
          <cell r="F29">
            <v>0.51334660682347399</v>
          </cell>
          <cell r="G29">
            <v>0.54388688286707398</v>
          </cell>
          <cell r="H29">
            <v>7.9303479229237694E-3</v>
          </cell>
          <cell r="I29">
            <v>0.232038605608612</v>
          </cell>
          <cell r="J29">
            <v>6.8437215266763399E-2</v>
          </cell>
          <cell r="K29">
            <v>0</v>
          </cell>
          <cell r="L29">
            <v>0.141835116255526</v>
          </cell>
          <cell r="M29">
            <v>5.8718320791009996E-3</v>
          </cell>
          <cell r="N29">
            <v>0</v>
          </cell>
          <cell r="O29">
            <v>11</v>
          </cell>
          <cell r="P29">
            <v>1</v>
          </cell>
          <cell r="Q29">
            <v>1</v>
          </cell>
        </row>
        <row r="30">
          <cell r="A30" t="str">
            <v>Hyd_Hari Kumar (1008540)</v>
          </cell>
          <cell r="B30" t="str">
            <v>08:15:11</v>
          </cell>
          <cell r="C30" t="str">
            <v>04:11:43</v>
          </cell>
          <cell r="D30">
            <v>69</v>
          </cell>
          <cell r="E30">
            <v>0.76097143145059698</v>
          </cell>
          <cell r="F30">
            <v>0.43603379219817601</v>
          </cell>
          <cell r="G30">
            <v>0.44983339503887398</v>
          </cell>
          <cell r="H30">
            <v>4.2745111238261897E-3</v>
          </cell>
          <cell r="I30">
            <v>0.15681060886540299</v>
          </cell>
          <cell r="J30">
            <v>5.4222341893574798E-2</v>
          </cell>
          <cell r="K30">
            <v>0</v>
          </cell>
          <cell r="L30">
            <v>0.33294066170778502</v>
          </cell>
          <cell r="M30">
            <v>1.91848137053616E-3</v>
          </cell>
          <cell r="N30">
            <v>1</v>
          </cell>
          <cell r="O30">
            <v>11</v>
          </cell>
          <cell r="P30">
            <v>2</v>
          </cell>
          <cell r="Q30">
            <v>0</v>
          </cell>
        </row>
        <row r="31">
          <cell r="A31" t="str">
            <v>Hyd_Heeramani Choudhary (1008541)</v>
          </cell>
          <cell r="B31" t="str">
            <v>07:27:24</v>
          </cell>
          <cell r="C31" t="str">
            <v>04:35:28</v>
          </cell>
          <cell r="D31">
            <v>68</v>
          </cell>
          <cell r="E31">
            <v>0.70364851632679104</v>
          </cell>
          <cell r="F31">
            <v>0.52954105200417201</v>
          </cell>
          <cell r="G31">
            <v>0.54116376098941998</v>
          </cell>
          <cell r="H31">
            <v>1.8141856653255801E-2</v>
          </cell>
          <cell r="I31">
            <v>0.19870362092087601</v>
          </cell>
          <cell r="J31">
            <v>5.6399940396364201E-2</v>
          </cell>
          <cell r="K31">
            <v>0</v>
          </cell>
          <cell r="L31">
            <v>0.17955595291312801</v>
          </cell>
          <cell r="M31">
            <v>6.0348681269557503E-3</v>
          </cell>
          <cell r="N31">
            <v>5</v>
          </cell>
          <cell r="O31">
            <v>5</v>
          </cell>
          <cell r="P31">
            <v>3</v>
          </cell>
          <cell r="Q31">
            <v>1</v>
          </cell>
        </row>
        <row r="32">
          <cell r="A32" t="str">
            <v>Hyd_Indra Pal (1008542)</v>
          </cell>
          <cell r="B32" t="str">
            <v>07:59:57</v>
          </cell>
          <cell r="C32" t="str">
            <v>05:14:16</v>
          </cell>
          <cell r="D32">
            <v>67</v>
          </cell>
          <cell r="E32">
            <v>0.76491825889416298</v>
          </cell>
          <cell r="F32">
            <v>0.56446852102649603</v>
          </cell>
          <cell r="G32">
            <v>0.58658888078619298</v>
          </cell>
          <cell r="H32">
            <v>3.61148730770566E-3</v>
          </cell>
          <cell r="I32">
            <v>0.18918637358058099</v>
          </cell>
          <cell r="J32">
            <v>6.4590061464735907E-2</v>
          </cell>
          <cell r="K32">
            <v>0</v>
          </cell>
          <cell r="L32">
            <v>0.14428586311074099</v>
          </cell>
          <cell r="M32">
            <v>1.17373337500434E-2</v>
          </cell>
          <cell r="N32">
            <v>0</v>
          </cell>
          <cell r="O32">
            <v>9</v>
          </cell>
          <cell r="P32">
            <v>1</v>
          </cell>
          <cell r="Q32">
            <v>1</v>
          </cell>
        </row>
        <row r="33">
          <cell r="A33" t="str">
            <v>Hyd_Indra Singh (1008543)</v>
          </cell>
          <cell r="B33" t="str">
            <v>08:17:44</v>
          </cell>
          <cell r="C33" t="str">
            <v>05:05:03</v>
          </cell>
          <cell r="D33">
            <v>66</v>
          </cell>
          <cell r="E33">
            <v>0.82688050598599505</v>
          </cell>
          <cell r="F33">
            <v>0.49789043664612898</v>
          </cell>
          <cell r="G33">
            <v>0.51356147870345603</v>
          </cell>
          <cell r="H33">
            <v>3.3485132601125101E-3</v>
          </cell>
          <cell r="I33">
            <v>0.123660594695955</v>
          </cell>
          <cell r="J33">
            <v>9.5968390034824505E-2</v>
          </cell>
          <cell r="K33">
            <v>0</v>
          </cell>
          <cell r="L33">
            <v>0.25964371818912402</v>
          </cell>
          <cell r="M33">
            <v>3.8173051165282601E-3</v>
          </cell>
          <cell r="N33">
            <v>1</v>
          </cell>
          <cell r="O33">
            <v>15</v>
          </cell>
          <cell r="P33">
            <v>1</v>
          </cell>
          <cell r="Q33">
            <v>0</v>
          </cell>
        </row>
        <row r="34">
          <cell r="A34" t="str">
            <v>Hyd_Jagdish Chandra (1008544)</v>
          </cell>
          <cell r="B34" t="str">
            <v>08:19:10</v>
          </cell>
          <cell r="C34" t="str">
            <v>04:59:15</v>
          </cell>
          <cell r="D34">
            <v>65</v>
          </cell>
          <cell r="E34">
            <v>0.69531038221740304</v>
          </cell>
          <cell r="F34">
            <v>0.56270450751252099</v>
          </cell>
          <cell r="G34">
            <v>0.57616026711185298</v>
          </cell>
          <cell r="H34">
            <v>1.40233722871452E-3</v>
          </cell>
          <cell r="I34">
            <v>0.23966611018363901</v>
          </cell>
          <cell r="J34">
            <v>2.1936560934891498E-2</v>
          </cell>
          <cell r="K34">
            <v>0</v>
          </cell>
          <cell r="L34">
            <v>0.13833055091819699</v>
          </cell>
          <cell r="M34">
            <v>2.2504173622704501E-2</v>
          </cell>
          <cell r="N34">
            <v>2</v>
          </cell>
          <cell r="O34">
            <v>1</v>
          </cell>
          <cell r="P34">
            <v>0</v>
          </cell>
          <cell r="Q34">
            <v>0</v>
          </cell>
        </row>
        <row r="35">
          <cell r="A35" t="str">
            <v>Hyd_Jairaj Vatham (1008545)</v>
          </cell>
          <cell r="B35" t="str">
            <v>08:16:23</v>
          </cell>
          <cell r="C35" t="str">
            <v>05:02:08</v>
          </cell>
          <cell r="D35">
            <v>64</v>
          </cell>
          <cell r="E35">
            <v>0.70567168827124405</v>
          </cell>
          <cell r="F35">
            <v>0.57680556021891705</v>
          </cell>
          <cell r="G35">
            <v>0.58597186314340399</v>
          </cell>
          <cell r="H35">
            <v>1.00728603565793E-4</v>
          </cell>
          <cell r="I35">
            <v>0.245744216499345</v>
          </cell>
          <cell r="J35">
            <v>2.2596783399926101E-2</v>
          </cell>
          <cell r="K35">
            <v>0</v>
          </cell>
          <cell r="L35">
            <v>0.140885740187355</v>
          </cell>
          <cell r="M35">
            <v>4.7006681664036503E-3</v>
          </cell>
          <cell r="N35">
            <v>2</v>
          </cell>
          <cell r="O35">
            <v>2</v>
          </cell>
          <cell r="P35">
            <v>0</v>
          </cell>
          <cell r="Q35">
            <v>0</v>
          </cell>
        </row>
        <row r="36">
          <cell r="A36" t="str">
            <v>Hyd_Janardan Mishra (1008546)</v>
          </cell>
          <cell r="B36" t="str">
            <v>07:39:42</v>
          </cell>
          <cell r="C36" t="str">
            <v>04:32:56</v>
          </cell>
          <cell r="D36">
            <v>63</v>
          </cell>
          <cell r="E36">
            <v>0.72876151484135099</v>
          </cell>
          <cell r="F36">
            <v>0.55728373576970502</v>
          </cell>
          <cell r="G36">
            <v>0.57762308752084701</v>
          </cell>
          <cell r="H36">
            <v>7.2511057936335303E-4</v>
          </cell>
          <cell r="I36">
            <v>0.20379232833006999</v>
          </cell>
          <cell r="J36">
            <v>1.53723442825031E-2</v>
          </cell>
          <cell r="K36">
            <v>0</v>
          </cell>
          <cell r="L36">
            <v>0.191755492712639</v>
          </cell>
          <cell r="M36">
            <v>1.07316365745776E-2</v>
          </cell>
          <cell r="N36">
            <v>2</v>
          </cell>
          <cell r="O36">
            <v>1</v>
          </cell>
          <cell r="P36">
            <v>0</v>
          </cell>
          <cell r="Q36">
            <v>0</v>
          </cell>
        </row>
        <row r="37">
          <cell r="A37" t="str">
            <v>Hyd_Jitendra Kumar (1008547)</v>
          </cell>
          <cell r="B37" t="str">
            <v>08:11:27</v>
          </cell>
          <cell r="C37" t="str">
            <v>04:07:41</v>
          </cell>
          <cell r="D37">
            <v>62</v>
          </cell>
          <cell r="E37">
            <v>0.73569306930693101</v>
          </cell>
          <cell r="F37">
            <v>0.47590463594126198</v>
          </cell>
          <cell r="G37">
            <v>0.48970732865330502</v>
          </cell>
          <cell r="H37">
            <v>5.76525248414556E-4</v>
          </cell>
          <cell r="I37">
            <v>0.17604368026587999</v>
          </cell>
          <cell r="J37">
            <v>1.3700952962322399E-2</v>
          </cell>
          <cell r="K37">
            <v>0</v>
          </cell>
          <cell r="L37">
            <v>0.31580018313154901</v>
          </cell>
          <cell r="M37">
            <v>4.1713297385288402E-3</v>
          </cell>
          <cell r="N37">
            <v>1</v>
          </cell>
          <cell r="O37">
            <v>1</v>
          </cell>
          <cell r="P37">
            <v>0</v>
          </cell>
          <cell r="Q37">
            <v>0</v>
          </cell>
        </row>
        <row r="38">
          <cell r="A38" t="str">
            <v>Hyd_John D'Costa (1008548)</v>
          </cell>
          <cell r="B38" t="str">
            <v>08:09:47</v>
          </cell>
          <cell r="C38" t="str">
            <v>04:51:30</v>
          </cell>
          <cell r="D38">
            <v>61</v>
          </cell>
          <cell r="E38">
            <v>0.69341474051461005</v>
          </cell>
          <cell r="F38">
            <v>0.55636846224520997</v>
          </cell>
          <cell r="G38">
            <v>0.57103481131112399</v>
          </cell>
          <cell r="H38">
            <v>0</v>
          </cell>
          <cell r="I38">
            <v>0.25923027188893</v>
          </cell>
          <cell r="J38">
            <v>2.41263143566883E-2</v>
          </cell>
          <cell r="K38">
            <v>0</v>
          </cell>
          <cell r="L38">
            <v>0.14210365127437299</v>
          </cell>
          <cell r="M38">
            <v>3.5049511688842001E-3</v>
          </cell>
          <cell r="N38">
            <v>2</v>
          </cell>
          <cell r="O38">
            <v>3</v>
          </cell>
          <cell r="P38">
            <v>0</v>
          </cell>
          <cell r="Q38">
            <v>0</v>
          </cell>
        </row>
        <row r="39">
          <cell r="A39" t="str">
            <v>Hyd_Julie S (1008549)</v>
          </cell>
          <cell r="B39" t="str">
            <v>08:15:46</v>
          </cell>
          <cell r="C39" t="str">
            <v>04:56:12</v>
          </cell>
          <cell r="D39">
            <v>60</v>
          </cell>
          <cell r="E39">
            <v>0.69527796252102803</v>
          </cell>
          <cell r="F39">
            <v>0.527970147246689</v>
          </cell>
          <cell r="G39">
            <v>0.54340079338398395</v>
          </cell>
          <cell r="H39">
            <v>3.52988637127681E-3</v>
          </cell>
          <cell r="I39">
            <v>0.25667316613998498</v>
          </cell>
          <cell r="J39">
            <v>5.0527802057419503E-2</v>
          </cell>
          <cell r="K39">
            <v>0</v>
          </cell>
          <cell r="L39">
            <v>0.14267464533046501</v>
          </cell>
          <cell r="M39">
            <v>3.1937067168695001E-3</v>
          </cell>
          <cell r="N39">
            <v>1</v>
          </cell>
          <cell r="O39">
            <v>11</v>
          </cell>
          <cell r="P39">
            <v>1</v>
          </cell>
          <cell r="Q39">
            <v>0</v>
          </cell>
        </row>
        <row r="40">
          <cell r="A40" t="str">
            <v>Hyd_Jyoti Tulsani (1008550)</v>
          </cell>
          <cell r="B40" t="str">
            <v>08:15:19</v>
          </cell>
          <cell r="C40" t="str">
            <v>04:56:56</v>
          </cell>
          <cell r="D40">
            <v>59</v>
          </cell>
          <cell r="E40">
            <v>0.69738129721689401</v>
          </cell>
          <cell r="F40">
            <v>0.565025741108382</v>
          </cell>
          <cell r="G40">
            <v>0.57508664490729799</v>
          </cell>
          <cell r="H40">
            <v>6.7297015377368002E-5</v>
          </cell>
          <cell r="I40">
            <v>0.25438271812645102</v>
          </cell>
          <cell r="J40">
            <v>2.4327871058918499E-2</v>
          </cell>
          <cell r="K40">
            <v>0</v>
          </cell>
          <cell r="L40">
            <v>0.14223224200006701</v>
          </cell>
          <cell r="M40">
            <v>3.9032268918873401E-3</v>
          </cell>
          <cell r="N40">
            <v>1</v>
          </cell>
          <cell r="O40">
            <v>4</v>
          </cell>
          <cell r="P40">
            <v>0</v>
          </cell>
          <cell r="Q40">
            <v>0</v>
          </cell>
        </row>
        <row r="41">
          <cell r="A41" t="str">
            <v>Hyd_Kahkasha Parveen (1008551)</v>
          </cell>
          <cell r="B41" t="str">
            <v>08:17:24</v>
          </cell>
          <cell r="C41" t="str">
            <v>05:25:18</v>
          </cell>
          <cell r="D41">
            <v>58</v>
          </cell>
          <cell r="E41">
            <v>0.76123244929797196</v>
          </cell>
          <cell r="F41">
            <v>0.48579278917035301</v>
          </cell>
          <cell r="G41">
            <v>0.51601661975606505</v>
          </cell>
          <cell r="H41">
            <v>1.0052271813429799E-3</v>
          </cell>
          <cell r="I41">
            <v>0.20158155743198</v>
          </cell>
          <cell r="J41">
            <v>0.13697895724433701</v>
          </cell>
          <cell r="K41">
            <v>0</v>
          </cell>
          <cell r="L41">
            <v>0.141133896260555</v>
          </cell>
          <cell r="M41">
            <v>3.2837421257204099E-3</v>
          </cell>
          <cell r="N41">
            <v>1</v>
          </cell>
          <cell r="O41">
            <v>3</v>
          </cell>
          <cell r="P41">
            <v>0</v>
          </cell>
          <cell r="Q41">
            <v>1</v>
          </cell>
        </row>
        <row r="42">
          <cell r="A42" t="str">
            <v>Hyd_Kailash Nath (1008552)</v>
          </cell>
          <cell r="B42" t="str">
            <v>08:16:01</v>
          </cell>
          <cell r="C42" t="str">
            <v>04:58:27</v>
          </cell>
          <cell r="D42">
            <v>57</v>
          </cell>
          <cell r="E42">
            <v>0.695039590125757</v>
          </cell>
          <cell r="F42">
            <v>0.572258996673499</v>
          </cell>
          <cell r="G42">
            <v>0.58418735929572296</v>
          </cell>
          <cell r="H42">
            <v>3.3601021471052698E-5</v>
          </cell>
          <cell r="I42">
            <v>0.24081852088303499</v>
          </cell>
          <cell r="J42">
            <v>1.7472531164947399E-2</v>
          </cell>
          <cell r="K42">
            <v>0</v>
          </cell>
          <cell r="L42">
            <v>0.136420147172474</v>
          </cell>
          <cell r="M42">
            <v>2.10678404623501E-2</v>
          </cell>
          <cell r="N42">
            <v>3</v>
          </cell>
          <cell r="O42">
            <v>1</v>
          </cell>
          <cell r="P42">
            <v>0</v>
          </cell>
          <cell r="Q42">
            <v>0</v>
          </cell>
        </row>
        <row r="43">
          <cell r="A43" t="str">
            <v>Hyd_Kalpana Agrawal (1008553)</v>
          </cell>
          <cell r="B43" t="str">
            <v>08:00:08</v>
          </cell>
          <cell r="C43" t="str">
            <v>03:54:19</v>
          </cell>
          <cell r="D43">
            <v>56</v>
          </cell>
          <cell r="E43">
            <v>0.69664535949655604</v>
          </cell>
          <cell r="F43">
            <v>0.46542627048042201</v>
          </cell>
          <cell r="G43">
            <v>0.47490280477645103</v>
          </cell>
          <cell r="H43">
            <v>3.01999444598723E-3</v>
          </cell>
          <cell r="I43">
            <v>0.207581227436823</v>
          </cell>
          <cell r="J43">
            <v>1.01013607331297E-2</v>
          </cell>
          <cell r="K43">
            <v>0</v>
          </cell>
          <cell r="L43">
            <v>0.30179116911968901</v>
          </cell>
          <cell r="M43">
            <v>2.6034434879200199E-3</v>
          </cell>
          <cell r="N43">
            <v>1</v>
          </cell>
          <cell r="O43">
            <v>1</v>
          </cell>
          <cell r="P43">
            <v>1</v>
          </cell>
          <cell r="Q43">
            <v>2</v>
          </cell>
        </row>
        <row r="44">
          <cell r="A44" t="str">
            <v>Hyd_Kamini Kumar (1008554)</v>
          </cell>
          <cell r="B44" t="str">
            <v>05:01:37</v>
          </cell>
          <cell r="C44" t="str">
            <v>03:21:30</v>
          </cell>
          <cell r="D44">
            <v>55</v>
          </cell>
          <cell r="E44">
            <v>0.70266186214111404</v>
          </cell>
          <cell r="F44">
            <v>0.64380836602751801</v>
          </cell>
          <cell r="G44">
            <v>0.65602033486213196</v>
          </cell>
          <cell r="H44">
            <v>2.2103111012875101E-4</v>
          </cell>
          <cell r="I44">
            <v>0.27954909653533699</v>
          </cell>
          <cell r="J44">
            <v>1.18251643918882E-2</v>
          </cell>
          <cell r="K44">
            <v>0</v>
          </cell>
          <cell r="L44">
            <v>4.9731999778968902E-2</v>
          </cell>
          <cell r="M44">
            <v>2.6523733215450102E-3</v>
          </cell>
          <cell r="N44">
            <v>1</v>
          </cell>
          <cell r="O44">
            <v>0</v>
          </cell>
          <cell r="P44">
            <v>0</v>
          </cell>
          <cell r="Q44">
            <v>0</v>
          </cell>
        </row>
        <row r="45">
          <cell r="A45" t="str">
            <v>Hyd_Kamini Tiwari (1008555)</v>
          </cell>
          <cell r="B45" t="str">
            <v>08:26:46</v>
          </cell>
          <cell r="C45" t="str">
            <v>05:18:49</v>
          </cell>
          <cell r="D45">
            <v>54</v>
          </cell>
          <cell r="E45">
            <v>0.723596610682403</v>
          </cell>
          <cell r="F45">
            <v>0.57347234098533195</v>
          </cell>
          <cell r="G45">
            <v>0.587120962967835</v>
          </cell>
          <cell r="H45">
            <v>8.5509438926527695E-4</v>
          </cell>
          <cell r="I45">
            <v>0.231237255804775</v>
          </cell>
          <cell r="J45">
            <v>4.11431954219562E-2</v>
          </cell>
          <cell r="K45">
            <v>0</v>
          </cell>
          <cell r="L45">
            <v>0.137637308425968</v>
          </cell>
          <cell r="M45">
            <v>2.0061829901993002E-3</v>
          </cell>
          <cell r="N45">
            <v>7</v>
          </cell>
          <cell r="O45">
            <v>6</v>
          </cell>
          <cell r="P45">
            <v>0</v>
          </cell>
          <cell r="Q45">
            <v>0</v>
          </cell>
        </row>
        <row r="46">
          <cell r="A46" t="str">
            <v>Hyd_Kavita Sharma (1008556)</v>
          </cell>
          <cell r="B46" t="str">
            <v>07:53:25</v>
          </cell>
          <cell r="C46" t="str">
            <v>05:26:19</v>
          </cell>
          <cell r="D46">
            <v>53</v>
          </cell>
          <cell r="E46">
            <v>0.77997769102063597</v>
          </cell>
          <cell r="F46">
            <v>0.64717479317021698</v>
          </cell>
          <cell r="G46">
            <v>0.671043830311565</v>
          </cell>
          <cell r="H46">
            <v>2.11230417180074E-3</v>
          </cell>
          <cell r="I46">
            <v>0.178067241682802</v>
          </cell>
          <cell r="J46">
            <v>1.60535117056856E-2</v>
          </cell>
          <cell r="K46">
            <v>0</v>
          </cell>
          <cell r="L46">
            <v>0.118957929941912</v>
          </cell>
          <cell r="M46">
            <v>1.3765182186234799E-2</v>
          </cell>
          <cell r="N46">
            <v>3</v>
          </cell>
          <cell r="O46">
            <v>2</v>
          </cell>
          <cell r="P46">
            <v>1</v>
          </cell>
          <cell r="Q46">
            <v>2</v>
          </cell>
        </row>
        <row r="47">
          <cell r="A47" t="str">
            <v>Hyd_Kiran Khubchandani (1008557)</v>
          </cell>
          <cell r="B47" t="str">
            <v>08:01:28</v>
          </cell>
          <cell r="C47" t="str">
            <v>04:13:15</v>
          </cell>
          <cell r="D47">
            <v>52</v>
          </cell>
          <cell r="E47">
            <v>0.72041532334534397</v>
          </cell>
          <cell r="F47">
            <v>0.50443090556632497</v>
          </cell>
          <cell r="G47">
            <v>0.51128496261423395</v>
          </cell>
          <cell r="H47">
            <v>5.98864580448629E-3</v>
          </cell>
          <cell r="I47">
            <v>0.19776377734699499</v>
          </cell>
          <cell r="J47">
            <v>8.7233453337025799E-3</v>
          </cell>
          <cell r="K47">
            <v>0</v>
          </cell>
          <cell r="L47">
            <v>0.27083910274162298</v>
          </cell>
          <cell r="M47">
            <v>5.4001661589587399E-3</v>
          </cell>
          <cell r="N47">
            <v>3</v>
          </cell>
          <cell r="O47">
            <v>0</v>
          </cell>
          <cell r="P47">
            <v>1</v>
          </cell>
          <cell r="Q47">
            <v>0</v>
          </cell>
        </row>
        <row r="48">
          <cell r="A48" t="str">
            <v>Hyd_Kisun Sah (1008558)</v>
          </cell>
          <cell r="B48" t="str">
            <v>08:21:34</v>
          </cell>
          <cell r="C48" t="str">
            <v>05:08:41</v>
          </cell>
          <cell r="D48">
            <v>51</v>
          </cell>
          <cell r="E48">
            <v>0.71393878652378395</v>
          </cell>
          <cell r="F48">
            <v>0.55280122283511701</v>
          </cell>
          <cell r="G48">
            <v>0.56732238984515204</v>
          </cell>
          <cell r="H48">
            <v>5.0176114840167502E-3</v>
          </cell>
          <cell r="I48">
            <v>0.23931680733701099</v>
          </cell>
          <cell r="J48">
            <v>4.3098292018342498E-2</v>
          </cell>
          <cell r="K48">
            <v>0</v>
          </cell>
          <cell r="L48">
            <v>0.138499368644913</v>
          </cell>
          <cell r="M48">
            <v>6.7455306705655601E-3</v>
          </cell>
          <cell r="N48">
            <v>5</v>
          </cell>
          <cell r="O48">
            <v>8</v>
          </cell>
          <cell r="P48">
            <v>2</v>
          </cell>
          <cell r="Q48">
            <v>0</v>
          </cell>
        </row>
        <row r="49">
          <cell r="A49" t="str">
            <v>Hyd_Krishana Kumar (1008559)</v>
          </cell>
          <cell r="B49" t="str">
            <v>08:15:28</v>
          </cell>
          <cell r="C49" t="str">
            <v>04:45:06</v>
          </cell>
          <cell r="D49">
            <v>50</v>
          </cell>
          <cell r="E49">
            <v>0.66945835942391996</v>
          </cell>
          <cell r="F49">
            <v>0.55493137782561897</v>
          </cell>
          <cell r="G49">
            <v>0.56529198062432695</v>
          </cell>
          <cell r="H49">
            <v>2.35468245425188E-4</v>
          </cell>
          <cell r="I49">
            <v>0.28081270182992502</v>
          </cell>
          <cell r="J49">
            <v>9.8896663078579094E-3</v>
          </cell>
          <cell r="K49">
            <v>0</v>
          </cell>
          <cell r="L49">
            <v>0.14077637244348801</v>
          </cell>
          <cell r="M49">
            <v>2.99381054897739E-3</v>
          </cell>
          <cell r="N49">
            <v>3</v>
          </cell>
          <cell r="O49">
            <v>0</v>
          </cell>
          <cell r="P49">
            <v>0</v>
          </cell>
          <cell r="Q49">
            <v>0</v>
          </cell>
        </row>
        <row r="50">
          <cell r="A50" t="str">
            <v>Hyd_Kunj Bihari (1008560)</v>
          </cell>
          <cell r="B50" t="str">
            <v>07:59:19</v>
          </cell>
          <cell r="C50" t="str">
            <v>04:42:13</v>
          </cell>
          <cell r="D50">
            <v>49</v>
          </cell>
          <cell r="E50">
            <v>0.68951054646143795</v>
          </cell>
          <cell r="F50">
            <v>0.55217497131332804</v>
          </cell>
          <cell r="G50">
            <v>0.55662575193852304</v>
          </cell>
          <cell r="H50">
            <v>0</v>
          </cell>
          <cell r="I50">
            <v>0.26224833965019601</v>
          </cell>
          <cell r="J50">
            <v>3.2163844361764997E-2</v>
          </cell>
          <cell r="K50">
            <v>0</v>
          </cell>
          <cell r="L50">
            <v>0.14642372822420799</v>
          </cell>
          <cell r="M50">
            <v>2.5383358253068598E-3</v>
          </cell>
          <cell r="N50">
            <v>0</v>
          </cell>
          <cell r="O50">
            <v>3</v>
          </cell>
          <cell r="P50">
            <v>0</v>
          </cell>
          <cell r="Q50">
            <v>2</v>
          </cell>
        </row>
        <row r="51">
          <cell r="A51" t="str">
            <v>Hyd_Leena George (1008561)</v>
          </cell>
          <cell r="B51" t="str">
            <v>04:56:13</v>
          </cell>
          <cell r="C51" t="str">
            <v>03:10:50</v>
          </cell>
          <cell r="D51">
            <v>48</v>
          </cell>
          <cell r="E51">
            <v>0.67908190498784204</v>
          </cell>
          <cell r="F51">
            <v>0.58819557756147001</v>
          </cell>
          <cell r="G51">
            <v>0.61205198897203605</v>
          </cell>
          <cell r="H51">
            <v>1.1196759129015899E-2</v>
          </cell>
          <cell r="I51">
            <v>0.28644573229055298</v>
          </cell>
          <cell r="J51">
            <v>2.0986890226748399E-2</v>
          </cell>
          <cell r="K51">
            <v>0</v>
          </cell>
          <cell r="L51">
            <v>6.1328982163956602E-2</v>
          </cell>
          <cell r="M51">
            <v>7.9896472176897507E-3</v>
          </cell>
          <cell r="N51">
            <v>2</v>
          </cell>
          <cell r="O51">
            <v>2</v>
          </cell>
          <cell r="P51">
            <v>3</v>
          </cell>
          <cell r="Q51">
            <v>0</v>
          </cell>
        </row>
        <row r="52">
          <cell r="A52" t="str">
            <v>Hyd_Lilly Lucy (1008562)</v>
          </cell>
          <cell r="B52" t="str">
            <v>07:45:23</v>
          </cell>
          <cell r="C52" t="str">
            <v>04:39:06</v>
          </cell>
          <cell r="D52">
            <v>47</v>
          </cell>
          <cell r="E52">
            <v>0.67342260827602896</v>
          </cell>
          <cell r="F52">
            <v>0.55534863732407003</v>
          </cell>
          <cell r="G52">
            <v>0.56333488522006903</v>
          </cell>
          <cell r="H52">
            <v>5.0137879167711202E-4</v>
          </cell>
          <cell r="I52">
            <v>0.23521827883823401</v>
          </cell>
          <cell r="J52">
            <v>3.5884396375747599E-2</v>
          </cell>
          <cell r="K52">
            <v>0</v>
          </cell>
          <cell r="L52">
            <v>0.16058446442001201</v>
          </cell>
          <cell r="M52">
            <v>4.4765963542599298E-3</v>
          </cell>
          <cell r="N52">
            <v>1</v>
          </cell>
          <cell r="O52">
            <v>6</v>
          </cell>
          <cell r="P52">
            <v>0</v>
          </cell>
          <cell r="Q52">
            <v>0</v>
          </cell>
        </row>
        <row r="53">
          <cell r="A53" t="str">
            <v>Hyd_Mangal Singh (1008563)</v>
          </cell>
          <cell r="B53" t="str">
            <v>08:00:13</v>
          </cell>
          <cell r="C53" t="str">
            <v>04:46:25</v>
          </cell>
          <cell r="D53">
            <v>46</v>
          </cell>
          <cell r="E53">
            <v>0.69809481252792804</v>
          </cell>
          <cell r="F53">
            <v>0.55815083469267301</v>
          </cell>
          <cell r="G53">
            <v>0.57887064866553295</v>
          </cell>
          <cell r="H53">
            <v>3.81772116752855E-4</v>
          </cell>
          <cell r="I53">
            <v>0.25356609863603202</v>
          </cell>
          <cell r="J53">
            <v>1.7179745253878501E-2</v>
          </cell>
          <cell r="K53">
            <v>0</v>
          </cell>
          <cell r="L53">
            <v>0.145906361711727</v>
          </cell>
          <cell r="M53">
            <v>4.0953736160760802E-3</v>
          </cell>
          <cell r="N53">
            <v>2</v>
          </cell>
          <cell r="O53">
            <v>1</v>
          </cell>
          <cell r="P53">
            <v>0</v>
          </cell>
          <cell r="Q53">
            <v>0</v>
          </cell>
        </row>
        <row r="54">
          <cell r="A54" t="str">
            <v>Hyd_Manisha Shrivastava (1008564)</v>
          </cell>
          <cell r="B54" t="str">
            <v>08:09:49</v>
          </cell>
          <cell r="C54" t="str">
            <v>04:51:12</v>
          </cell>
          <cell r="D54">
            <v>45</v>
          </cell>
          <cell r="E54">
            <v>0.69352597943873295</v>
          </cell>
          <cell r="F54">
            <v>0.53002824185919895</v>
          </cell>
          <cell r="G54">
            <v>0.56510939467147603</v>
          </cell>
          <cell r="H54">
            <v>3.7769233386641299E-3</v>
          </cell>
          <cell r="I54">
            <v>0.255912075946783</v>
          </cell>
          <cell r="J54">
            <v>2.5009357242505699E-2</v>
          </cell>
          <cell r="K54">
            <v>0</v>
          </cell>
          <cell r="L54">
            <v>0.14321684984177799</v>
          </cell>
          <cell r="M54">
            <v>6.9753989587941099E-3</v>
          </cell>
          <cell r="N54">
            <v>1</v>
          </cell>
          <cell r="O54">
            <v>3</v>
          </cell>
          <cell r="P54">
            <v>1</v>
          </cell>
          <cell r="Q54">
            <v>1</v>
          </cell>
        </row>
        <row r="55">
          <cell r="A55" t="str">
            <v>Hyd_Manjusha Sinha (1008565)</v>
          </cell>
          <cell r="B55" t="str">
            <v>08:14:05</v>
          </cell>
          <cell r="C55" t="str">
            <v>05:04:01</v>
          </cell>
          <cell r="D55">
            <v>44</v>
          </cell>
          <cell r="E55">
            <v>0.71640091116173099</v>
          </cell>
          <cell r="F55">
            <v>0.54639905548996504</v>
          </cell>
          <cell r="G55">
            <v>0.55422499578343698</v>
          </cell>
          <cell r="H55">
            <v>6.7465002529937596E-5</v>
          </cell>
          <cell r="I55">
            <v>0.23875864395344901</v>
          </cell>
          <cell r="J55">
            <v>6.1022094788328603E-2</v>
          </cell>
          <cell r="K55">
            <v>0</v>
          </cell>
          <cell r="L55">
            <v>0.142992072862203</v>
          </cell>
          <cell r="M55">
            <v>2.9347276100522802E-3</v>
          </cell>
          <cell r="N55">
            <v>1</v>
          </cell>
          <cell r="O55">
            <v>9</v>
          </cell>
          <cell r="P55">
            <v>0</v>
          </cell>
          <cell r="Q55">
            <v>0</v>
          </cell>
        </row>
        <row r="56">
          <cell r="A56" t="str">
            <v>Hyd_ManjuTiwari Lab (1008566)</v>
          </cell>
          <cell r="B56" t="str">
            <v>07:41:28</v>
          </cell>
          <cell r="C56" t="str">
            <v>04:26:11</v>
          </cell>
          <cell r="D56">
            <v>43</v>
          </cell>
          <cell r="E56">
            <v>0.67961702127659596</v>
          </cell>
          <cell r="F56">
            <v>0.52849609939323905</v>
          </cell>
          <cell r="G56">
            <v>0.52849609939323905</v>
          </cell>
          <cell r="H56">
            <v>0</v>
          </cell>
          <cell r="I56">
            <v>0.26820283155157498</v>
          </cell>
          <cell r="J56">
            <v>4.83241837619185E-2</v>
          </cell>
          <cell r="K56">
            <v>0</v>
          </cell>
          <cell r="L56">
            <v>0.15335163247616301</v>
          </cell>
          <cell r="M56">
            <v>1.6252528171048801E-3</v>
          </cell>
          <cell r="N56">
            <v>0</v>
          </cell>
          <cell r="O56">
            <v>7</v>
          </cell>
          <cell r="P56">
            <v>0</v>
          </cell>
          <cell r="Q56">
            <v>0</v>
          </cell>
        </row>
        <row r="57">
          <cell r="A57" t="str">
            <v>Hyd_Manoj Kumar (1008567)</v>
          </cell>
          <cell r="B57" t="str">
            <v>08:00:44</v>
          </cell>
          <cell r="C57" t="str">
            <v>04:28:58</v>
          </cell>
          <cell r="D57">
            <v>42</v>
          </cell>
          <cell r="E57">
            <v>0.65449973638317704</v>
          </cell>
          <cell r="F57">
            <v>0.53279711551795905</v>
          </cell>
          <cell r="G57">
            <v>0.54420330051310495</v>
          </cell>
          <cell r="H57">
            <v>1.04007765913188E-4</v>
          </cell>
          <cell r="I57">
            <v>0.287685480515879</v>
          </cell>
          <cell r="J57">
            <v>1.51851338233255E-2</v>
          </cell>
          <cell r="K57">
            <v>0</v>
          </cell>
          <cell r="L57">
            <v>0.14536818749133301</v>
          </cell>
          <cell r="M57">
            <v>7.4538898904451499E-3</v>
          </cell>
          <cell r="N57">
            <v>0</v>
          </cell>
          <cell r="O57">
            <v>1</v>
          </cell>
          <cell r="P57">
            <v>0</v>
          </cell>
          <cell r="Q57">
            <v>7</v>
          </cell>
        </row>
        <row r="58">
          <cell r="A58" t="str">
            <v>Hyd_Manoj Kumar (1008568)</v>
          </cell>
          <cell r="B58" t="str">
            <v>07:55:23</v>
          </cell>
          <cell r="C58" t="str">
            <v>04:29:51</v>
          </cell>
          <cell r="D58">
            <v>41</v>
          </cell>
          <cell r="E58">
            <v>0.66536533245664498</v>
          </cell>
          <cell r="F58">
            <v>0.53150089401535605</v>
          </cell>
          <cell r="G58">
            <v>0.53788170949759795</v>
          </cell>
          <cell r="H58">
            <v>8.7648564316516499E-4</v>
          </cell>
          <cell r="I58">
            <v>0.268134487957087</v>
          </cell>
          <cell r="J58">
            <v>2.8888966798723801E-2</v>
          </cell>
          <cell r="K58">
            <v>0</v>
          </cell>
          <cell r="L58">
            <v>0.15983592188759899</v>
          </cell>
          <cell r="M58">
            <v>4.3824282158258197E-3</v>
          </cell>
          <cell r="N58">
            <v>0</v>
          </cell>
          <cell r="O58">
            <v>1</v>
          </cell>
          <cell r="P58">
            <v>0</v>
          </cell>
          <cell r="Q58">
            <v>0</v>
          </cell>
        </row>
        <row r="59">
          <cell r="A59" t="str">
            <v>Hyd_Masroor Adil (1008569)</v>
          </cell>
          <cell r="B59" t="str">
            <v>08:10:04</v>
          </cell>
          <cell r="C59" t="str">
            <v>05:04:35</v>
          </cell>
          <cell r="D59">
            <v>40</v>
          </cell>
          <cell r="E59">
            <v>0.72453712881100596</v>
          </cell>
          <cell r="F59">
            <v>0.58954564004897303</v>
          </cell>
          <cell r="G59">
            <v>0.59757175894436099</v>
          </cell>
          <cell r="H59">
            <v>2.3806284859202801E-4</v>
          </cell>
          <cell r="I59">
            <v>0.213406339273568</v>
          </cell>
          <cell r="J59">
            <v>2.3704257924092E-2</v>
          </cell>
          <cell r="K59">
            <v>0</v>
          </cell>
          <cell r="L59">
            <v>0.146204598013876</v>
          </cell>
          <cell r="M59">
            <v>1.8874982995510801E-2</v>
          </cell>
          <cell r="N59">
            <v>0</v>
          </cell>
          <cell r="O59">
            <v>3</v>
          </cell>
          <cell r="P59">
            <v>0</v>
          </cell>
          <cell r="Q59">
            <v>1</v>
          </cell>
        </row>
        <row r="60">
          <cell r="A60" t="str">
            <v>Hyd_Meena Zinjare (1008570)</v>
          </cell>
          <cell r="B60" t="str">
            <v>08:05:29</v>
          </cell>
          <cell r="C60" t="str">
            <v>03:09:32</v>
          </cell>
          <cell r="D60">
            <v>39</v>
          </cell>
          <cell r="E60">
            <v>0.699298979215349</v>
          </cell>
          <cell r="F60">
            <v>0.34903360911806097</v>
          </cell>
          <cell r="G60">
            <v>0.35964159428747999</v>
          </cell>
          <cell r="H60">
            <v>1.9499467884239102E-2</v>
          </cell>
          <cell r="I60">
            <v>0.16433794500326099</v>
          </cell>
          <cell r="J60">
            <v>1.1260256102166201E-2</v>
          </cell>
          <cell r="K60">
            <v>0</v>
          </cell>
          <cell r="L60">
            <v>0.442342682550036</v>
          </cell>
          <cell r="M60">
            <v>2.9180541728174702E-3</v>
          </cell>
          <cell r="N60">
            <v>2</v>
          </cell>
          <cell r="O60">
            <v>1</v>
          </cell>
          <cell r="P60">
            <v>4</v>
          </cell>
          <cell r="Q60">
            <v>0</v>
          </cell>
        </row>
        <row r="61">
          <cell r="A61" t="str">
            <v>Hyd_Mehnaz Khan (1008571)</v>
          </cell>
          <cell r="B61" t="str">
            <v>08:14:51</v>
          </cell>
          <cell r="C61" t="str">
            <v>04:08:21</v>
          </cell>
          <cell r="D61">
            <v>38</v>
          </cell>
          <cell r="E61">
            <v>0.67028023930547398</v>
          </cell>
          <cell r="F61">
            <v>0.47933717288067101</v>
          </cell>
          <cell r="G61">
            <v>0.48829611666835099</v>
          </cell>
          <cell r="H61">
            <v>4.3784311744299602E-4</v>
          </cell>
          <cell r="I61">
            <v>0.22687009531507901</v>
          </cell>
          <cell r="J61">
            <v>1.31352935232899E-2</v>
          </cell>
          <cell r="K61">
            <v>0</v>
          </cell>
          <cell r="L61">
            <v>0.26755582499747399</v>
          </cell>
          <cell r="M61">
            <v>3.7048263783638099E-3</v>
          </cell>
          <cell r="N61">
            <v>1</v>
          </cell>
          <cell r="O61">
            <v>1</v>
          </cell>
          <cell r="P61">
            <v>0</v>
          </cell>
          <cell r="Q61">
            <v>0</v>
          </cell>
        </row>
        <row r="62">
          <cell r="A62" t="str">
            <v>Hyd_Mercy Thampi (1008572)</v>
          </cell>
          <cell r="B62" t="str">
            <v>05:15:35</v>
          </cell>
          <cell r="C62" t="str">
            <v>03:38:44</v>
          </cell>
          <cell r="D62">
            <v>37</v>
          </cell>
          <cell r="E62">
            <v>0.72721227904914898</v>
          </cell>
          <cell r="F62">
            <v>0.62762080802746201</v>
          </cell>
          <cell r="G62">
            <v>0.66421969897016098</v>
          </cell>
          <cell r="H62">
            <v>0</v>
          </cell>
          <cell r="I62">
            <v>0.25207288090837099</v>
          </cell>
          <cell r="J62">
            <v>2.8888302086083999E-2</v>
          </cell>
          <cell r="K62">
            <v>0</v>
          </cell>
          <cell r="L62">
            <v>4.9379456033799798E-2</v>
          </cell>
          <cell r="M62">
            <v>5.4396620015843703E-3</v>
          </cell>
          <cell r="N62">
            <v>1</v>
          </cell>
          <cell r="O62">
            <v>3</v>
          </cell>
          <cell r="P62">
            <v>0</v>
          </cell>
          <cell r="Q62">
            <v>0</v>
          </cell>
        </row>
        <row r="63">
          <cell r="A63" t="str">
            <v>Hyd_Miny Mole (1008573)</v>
          </cell>
          <cell r="B63" t="str">
            <v>08:12:10</v>
          </cell>
          <cell r="C63" t="str">
            <v>04:14:06</v>
          </cell>
          <cell r="D63">
            <v>36</v>
          </cell>
          <cell r="E63">
            <v>0.70737252354660596</v>
          </cell>
          <cell r="F63">
            <v>0.47561801557737898</v>
          </cell>
          <cell r="G63">
            <v>0.49664747714189</v>
          </cell>
          <cell r="H63">
            <v>1.7609210971892999E-3</v>
          </cell>
          <cell r="I63">
            <v>0.210667118184897</v>
          </cell>
          <cell r="J63">
            <v>1.7880121909922098E-2</v>
          </cell>
          <cell r="K63">
            <v>0</v>
          </cell>
          <cell r="L63">
            <v>0.27047070775482601</v>
          </cell>
          <cell r="M63">
            <v>2.57365391127667E-3</v>
          </cell>
          <cell r="N63">
            <v>2</v>
          </cell>
          <cell r="O63">
            <v>1</v>
          </cell>
          <cell r="P63">
            <v>0</v>
          </cell>
          <cell r="Q63">
            <v>0</v>
          </cell>
        </row>
        <row r="64">
          <cell r="A64" t="str">
            <v>Hyd_Mohd Rafi (1008574)</v>
          </cell>
          <cell r="B64" t="str">
            <v>08:00:32</v>
          </cell>
          <cell r="C64" t="str">
            <v>03:55:15</v>
          </cell>
          <cell r="D64">
            <v>35</v>
          </cell>
          <cell r="E64">
            <v>0.72855373180551297</v>
          </cell>
          <cell r="F64">
            <v>0.43635543840177599</v>
          </cell>
          <cell r="G64">
            <v>0.45310765815760301</v>
          </cell>
          <cell r="H64">
            <v>3.1215316315205302E-3</v>
          </cell>
          <cell r="I64">
            <v>0.176505271920089</v>
          </cell>
          <cell r="J64">
            <v>3.33310210876804E-2</v>
          </cell>
          <cell r="K64">
            <v>0</v>
          </cell>
          <cell r="L64">
            <v>0.32980715871254201</v>
          </cell>
          <cell r="M64">
            <v>4.1273584905660403E-3</v>
          </cell>
          <cell r="N64">
            <v>0</v>
          </cell>
          <cell r="O64">
            <v>6</v>
          </cell>
          <cell r="P64">
            <v>1</v>
          </cell>
          <cell r="Q64">
            <v>0</v>
          </cell>
        </row>
        <row r="65">
          <cell r="A65" t="str">
            <v>Hyd_Mubeen Khan (1008575)</v>
          </cell>
          <cell r="B65" t="str">
            <v>07:55:35</v>
          </cell>
          <cell r="C65" t="str">
            <v>03:50:43</v>
          </cell>
          <cell r="D65">
            <v>34</v>
          </cell>
          <cell r="E65">
            <v>0.691562172153669</v>
          </cell>
          <cell r="F65">
            <v>0.451270369721395</v>
          </cell>
          <cell r="G65">
            <v>0.48782197301559499</v>
          </cell>
          <cell r="H65">
            <v>1.43332749255301E-2</v>
          </cell>
          <cell r="I65">
            <v>0.17928859295601901</v>
          </cell>
          <cell r="J65">
            <v>1.27212195549325E-2</v>
          </cell>
          <cell r="K65">
            <v>0</v>
          </cell>
          <cell r="L65">
            <v>0.30411775013141801</v>
          </cell>
          <cell r="M65">
            <v>1.71718941650604E-3</v>
          </cell>
          <cell r="N65">
            <v>1</v>
          </cell>
          <cell r="O65">
            <v>1</v>
          </cell>
          <cell r="P65">
            <v>4</v>
          </cell>
          <cell r="Q65">
            <v>1</v>
          </cell>
        </row>
        <row r="66">
          <cell r="A66" t="str">
            <v>Hyd_Mukesh Nagar (1008576)</v>
          </cell>
          <cell r="B66" t="str">
            <v>05:01:07</v>
          </cell>
          <cell r="C66" t="str">
            <v>03:13:40</v>
          </cell>
          <cell r="D66">
            <v>33</v>
          </cell>
          <cell r="E66">
            <v>0.67656477438136797</v>
          </cell>
          <cell r="F66">
            <v>0.61244257486024201</v>
          </cell>
          <cell r="G66">
            <v>0.63070792051807201</v>
          </cell>
          <cell r="H66">
            <v>0</v>
          </cell>
          <cell r="I66">
            <v>0.25383295511152898</v>
          </cell>
          <cell r="J66">
            <v>1.24536447667017E-2</v>
          </cell>
          <cell r="K66">
            <v>0</v>
          </cell>
          <cell r="L66">
            <v>9.8190070293906001E-2</v>
          </cell>
          <cell r="M66">
            <v>4.8154093097913303E-3</v>
          </cell>
          <cell r="N66">
            <v>3</v>
          </cell>
          <cell r="O66">
            <v>0</v>
          </cell>
          <cell r="P66">
            <v>0</v>
          </cell>
          <cell r="Q66">
            <v>0</v>
          </cell>
        </row>
        <row r="67">
          <cell r="A67" t="str">
            <v>Hyd_Nandu Kumar (1008577)</v>
          </cell>
          <cell r="B67" t="str">
            <v>08:21:39</v>
          </cell>
          <cell r="C67" t="str">
            <v>04:43:39</v>
          </cell>
          <cell r="D67">
            <v>32</v>
          </cell>
          <cell r="E67">
            <v>0.64365946825006604</v>
          </cell>
          <cell r="F67">
            <v>0.51755872288115901</v>
          </cell>
          <cell r="G67">
            <v>0.540516296222466</v>
          </cell>
          <cell r="H67">
            <v>3.3223695139373401E-5</v>
          </cell>
          <cell r="I67">
            <v>0.28263397455064898</v>
          </cell>
          <cell r="J67">
            <v>2.4884547659390702E-2</v>
          </cell>
          <cell r="K67">
            <v>0</v>
          </cell>
          <cell r="L67">
            <v>0.14761287750423599</v>
          </cell>
          <cell r="M67">
            <v>4.3190803681185403E-3</v>
          </cell>
          <cell r="N67">
            <v>3</v>
          </cell>
          <cell r="O67">
            <v>4</v>
          </cell>
          <cell r="P67">
            <v>0</v>
          </cell>
          <cell r="Q67">
            <v>0</v>
          </cell>
        </row>
        <row r="68">
          <cell r="A68" t="str">
            <v>Hyd_Narayan Singh (1008578)</v>
          </cell>
          <cell r="B68" t="str">
            <v>08:19:29</v>
          </cell>
          <cell r="C68" t="str">
            <v>04:54:19</v>
          </cell>
          <cell r="D68">
            <v>31</v>
          </cell>
          <cell r="E68">
            <v>0.68047474085777004</v>
          </cell>
          <cell r="F68">
            <v>0.55550735760285597</v>
          </cell>
          <cell r="G68">
            <v>0.57048950582268299</v>
          </cell>
          <cell r="H68">
            <v>1.0310654342820901E-2</v>
          </cell>
          <cell r="I68">
            <v>0.263872668424038</v>
          </cell>
          <cell r="J68">
            <v>8.1417464713537304E-3</v>
          </cell>
          <cell r="K68">
            <v>0</v>
          </cell>
          <cell r="L68">
            <v>0.13704160966331899</v>
          </cell>
          <cell r="M68">
            <v>1.0143815275784999E-2</v>
          </cell>
          <cell r="N68">
            <v>3</v>
          </cell>
          <cell r="O68">
            <v>0</v>
          </cell>
          <cell r="P68">
            <v>5</v>
          </cell>
          <cell r="Q68">
            <v>1</v>
          </cell>
        </row>
        <row r="69">
          <cell r="A69" t="str">
            <v>Hyd_Neeraj Saxena (1008579)</v>
          </cell>
          <cell r="B69" t="str">
            <v>08:21:13</v>
          </cell>
          <cell r="C69" t="str">
            <v>04:36:09</v>
          </cell>
          <cell r="D69">
            <v>30</v>
          </cell>
          <cell r="E69">
            <v>0.75293101881305102</v>
          </cell>
          <cell r="F69">
            <v>0.45535862734013899</v>
          </cell>
          <cell r="G69">
            <v>0.46892561433844299</v>
          </cell>
          <cell r="H69">
            <v>4.0900475509593297E-2</v>
          </cell>
          <cell r="I69">
            <v>0.17567253017657</v>
          </cell>
          <cell r="J69">
            <v>4.1133242443387799E-2</v>
          </cell>
          <cell r="K69">
            <v>0</v>
          </cell>
          <cell r="L69">
            <v>0.26994313836331602</v>
          </cell>
          <cell r="M69">
            <v>3.42499916868952E-3</v>
          </cell>
          <cell r="N69">
            <v>6</v>
          </cell>
          <cell r="O69">
            <v>8</v>
          </cell>
          <cell r="P69">
            <v>6</v>
          </cell>
          <cell r="Q69">
            <v>0</v>
          </cell>
        </row>
        <row r="70">
          <cell r="A70" t="str">
            <v>Hyd_Neeru Mehta (1008580)</v>
          </cell>
          <cell r="B70" t="str">
            <v>08:02:20</v>
          </cell>
          <cell r="C70" t="str">
            <v>04:44:15</v>
          </cell>
          <cell r="D70">
            <v>29</v>
          </cell>
          <cell r="E70">
            <v>0.68920229532045596</v>
          </cell>
          <cell r="F70">
            <v>0.53445058742225304</v>
          </cell>
          <cell r="G70">
            <v>0.55725639253628201</v>
          </cell>
          <cell r="H70">
            <v>1.3994471319972401E-2</v>
          </cell>
          <cell r="I70">
            <v>0.25884588804422898</v>
          </cell>
          <cell r="J70">
            <v>1.8071872840359399E-2</v>
          </cell>
          <cell r="K70">
            <v>0</v>
          </cell>
          <cell r="L70">
            <v>0.14523151347615701</v>
          </cell>
          <cell r="M70">
            <v>6.5998617829993098E-3</v>
          </cell>
          <cell r="N70">
            <v>1</v>
          </cell>
          <cell r="O70">
            <v>2</v>
          </cell>
          <cell r="P70">
            <v>2</v>
          </cell>
          <cell r="Q70">
            <v>1</v>
          </cell>
        </row>
        <row r="71">
          <cell r="A71" t="str">
            <v>Hyd_Nikita Panwalkar (1008581)</v>
          </cell>
          <cell r="B71" t="str">
            <v>08:16:46</v>
          </cell>
          <cell r="C71" t="str">
            <v>04:58:45</v>
          </cell>
          <cell r="D71">
            <v>28</v>
          </cell>
          <cell r="E71">
            <v>0.74780976220275297</v>
          </cell>
          <cell r="F71">
            <v>0.55914916459773201</v>
          </cell>
          <cell r="G71">
            <v>0.57495135207676296</v>
          </cell>
          <cell r="H71">
            <v>9.2263302690733396E-3</v>
          </cell>
          <cell r="I71">
            <v>0.19673891162853099</v>
          </cell>
          <cell r="J71">
            <v>1.5768637187143501E-2</v>
          </cell>
          <cell r="K71">
            <v>0</v>
          </cell>
          <cell r="L71">
            <v>0.19610145608266799</v>
          </cell>
          <cell r="M71">
            <v>7.2133127558209704E-3</v>
          </cell>
          <cell r="N71">
            <v>3</v>
          </cell>
          <cell r="O71">
            <v>1</v>
          </cell>
          <cell r="P71">
            <v>2</v>
          </cell>
          <cell r="Q71">
            <v>2</v>
          </cell>
        </row>
        <row r="72">
          <cell r="A72" t="str">
            <v>Hyd_Nitin Bhatia (1008582)</v>
          </cell>
          <cell r="B72" t="str">
            <v>08:00:37</v>
          </cell>
          <cell r="C72" t="str">
            <v>04:44:56</v>
          </cell>
          <cell r="D72">
            <v>29</v>
          </cell>
          <cell r="E72">
            <v>0.69346529834097304</v>
          </cell>
          <cell r="F72">
            <v>0.56847106148351101</v>
          </cell>
          <cell r="G72">
            <v>0.56871380518084402</v>
          </cell>
          <cell r="H72">
            <v>7.1089225647605501E-3</v>
          </cell>
          <cell r="I72">
            <v>0.25838332697576</v>
          </cell>
          <cell r="J72">
            <v>1.7026736484377698E-2</v>
          </cell>
          <cell r="K72">
            <v>0</v>
          </cell>
          <cell r="L72">
            <v>0.14540347470263901</v>
          </cell>
          <cell r="M72">
            <v>3.3637340916184101E-3</v>
          </cell>
          <cell r="N72">
            <v>1</v>
          </cell>
          <cell r="O72">
            <v>0</v>
          </cell>
          <cell r="P72">
            <v>1</v>
          </cell>
          <cell r="Q72">
            <v>0</v>
          </cell>
        </row>
        <row r="73">
          <cell r="A73" t="str">
            <v>Hyd_Om Prakash (1008583)</v>
          </cell>
          <cell r="B73" t="str">
            <v>07:55:44</v>
          </cell>
          <cell r="C73" t="str">
            <v>04:26:21</v>
          </cell>
          <cell r="D73">
            <v>30</v>
          </cell>
          <cell r="E73">
            <v>0.70033743809982896</v>
          </cell>
          <cell r="F73">
            <v>0.47509108744394601</v>
          </cell>
          <cell r="G73">
            <v>0.48952494394618801</v>
          </cell>
          <cell r="H73">
            <v>1.3663116591928299E-2</v>
          </cell>
          <cell r="I73">
            <v>0.23584641255605401</v>
          </cell>
          <cell r="J73">
            <v>5.6684417040358703E-2</v>
          </cell>
          <cell r="K73">
            <v>0</v>
          </cell>
          <cell r="L73">
            <v>0.201898822869955</v>
          </cell>
          <cell r="M73">
            <v>2.3822869955157002E-3</v>
          </cell>
          <cell r="N73">
            <v>1</v>
          </cell>
          <cell r="O73">
            <v>8</v>
          </cell>
          <cell r="P73">
            <v>4</v>
          </cell>
          <cell r="Q73">
            <v>0</v>
          </cell>
        </row>
        <row r="74">
          <cell r="A74" t="str">
            <v>Hyd_Omprakash O (1008584)</v>
          </cell>
          <cell r="B74" t="str">
            <v>08:09:43</v>
          </cell>
          <cell r="C74" t="str">
            <v>04:02:05</v>
          </cell>
          <cell r="D74">
            <v>31</v>
          </cell>
          <cell r="E74">
            <v>0.67214252660805196</v>
          </cell>
          <cell r="F74">
            <v>0.47578531804104401</v>
          </cell>
          <cell r="G74">
            <v>0.48072014430112597</v>
          </cell>
          <cell r="H74">
            <v>0</v>
          </cell>
          <cell r="I74">
            <v>0.234489330565293</v>
          </cell>
          <cell r="J74">
            <v>1.3613313820916901E-2</v>
          </cell>
          <cell r="K74">
            <v>0</v>
          </cell>
          <cell r="L74">
            <v>0.26933941394684002</v>
          </cell>
          <cell r="M74">
            <v>1.8377973658237801E-3</v>
          </cell>
          <cell r="N74">
            <v>0</v>
          </cell>
          <cell r="O74">
            <v>1</v>
          </cell>
          <cell r="P74">
            <v>0</v>
          </cell>
          <cell r="Q74">
            <v>0</v>
          </cell>
        </row>
        <row r="75">
          <cell r="A75" t="str">
            <v>Hyd_Owais Mohd (1008585)</v>
          </cell>
          <cell r="B75" t="str">
            <v>08:01:11</v>
          </cell>
          <cell r="C75" t="str">
            <v>04:02:50</v>
          </cell>
          <cell r="D75">
            <v>32</v>
          </cell>
          <cell r="E75">
            <v>0.72491168714861398</v>
          </cell>
          <cell r="F75">
            <v>0.46898271622042897</v>
          </cell>
          <cell r="G75">
            <v>0.48404973849191202</v>
          </cell>
          <cell r="H75">
            <v>0</v>
          </cell>
          <cell r="I75">
            <v>0.187870181150636</v>
          </cell>
          <cell r="J75">
            <v>2.0608915520764801E-2</v>
          </cell>
          <cell r="K75">
            <v>0</v>
          </cell>
          <cell r="L75">
            <v>0.304319213051159</v>
          </cell>
          <cell r="M75">
            <v>3.1519517855287298E-3</v>
          </cell>
          <cell r="N75">
            <v>0</v>
          </cell>
          <cell r="O75">
            <v>3</v>
          </cell>
          <cell r="P75">
            <v>0</v>
          </cell>
          <cell r="Q75">
            <v>1</v>
          </cell>
        </row>
        <row r="76">
          <cell r="A76" t="str">
            <v>Hyd_Pankaj Shelkey (1008586)</v>
          </cell>
          <cell r="B76" t="str">
            <v>08:15:54</v>
          </cell>
          <cell r="C76" t="str">
            <v>04:26:54</v>
          </cell>
          <cell r="D76">
            <v>33</v>
          </cell>
          <cell r="E76">
            <v>0.70116905293576803</v>
          </cell>
          <cell r="F76">
            <v>0.51361161524500898</v>
          </cell>
          <cell r="G76">
            <v>0.52060227196343301</v>
          </cell>
          <cell r="H76">
            <v>2.0501445183840799E-3</v>
          </cell>
          <cell r="I76">
            <v>0.21583652618135399</v>
          </cell>
          <cell r="J76">
            <v>2.3156550379780899E-2</v>
          </cell>
          <cell r="K76">
            <v>0</v>
          </cell>
          <cell r="L76">
            <v>0.23277542515292099</v>
          </cell>
          <cell r="M76">
            <v>5.5790818041271803E-3</v>
          </cell>
          <cell r="N76">
            <v>2</v>
          </cell>
          <cell r="O76">
            <v>1</v>
          </cell>
          <cell r="P76">
            <v>1</v>
          </cell>
          <cell r="Q76">
            <v>0</v>
          </cell>
        </row>
        <row r="77">
          <cell r="A77" t="str">
            <v>Hyd_Partha Sarathi (1008587)</v>
          </cell>
          <cell r="B77" t="str">
            <v>08:32:22</v>
          </cell>
          <cell r="C77" t="str">
            <v>05:11:39</v>
          </cell>
          <cell r="D77">
            <v>34</v>
          </cell>
          <cell r="E77">
            <v>0.75159773302785504</v>
          </cell>
          <cell r="F77">
            <v>0.525112224318522</v>
          </cell>
          <cell r="G77">
            <v>0.55123284106434201</v>
          </cell>
          <cell r="H77">
            <v>5.4323075922191096E-3</v>
          </cell>
          <cell r="I77">
            <v>0.196603994535164</v>
          </cell>
          <cell r="J77">
            <v>5.1590657732092898E-2</v>
          </cell>
          <cell r="K77">
            <v>0</v>
          </cell>
          <cell r="L77">
            <v>0.19263548240192599</v>
          </cell>
          <cell r="M77">
            <v>2.50471667425672E-3</v>
          </cell>
          <cell r="N77">
            <v>3</v>
          </cell>
          <cell r="O77">
            <v>12</v>
          </cell>
          <cell r="P77">
            <v>2</v>
          </cell>
          <cell r="Q77">
            <v>0</v>
          </cell>
        </row>
        <row r="78">
          <cell r="A78" t="str">
            <v>Hyd_Prabha Desikan (1008588)</v>
          </cell>
          <cell r="B78" t="str">
            <v>08:21:49</v>
          </cell>
          <cell r="C78" t="str">
            <v>03:03:51</v>
          </cell>
          <cell r="D78">
            <v>35</v>
          </cell>
          <cell r="E78">
            <v>0.73398097012442598</v>
          </cell>
          <cell r="F78">
            <v>0.348600086352918</v>
          </cell>
          <cell r="G78">
            <v>0.348600086352918</v>
          </cell>
          <cell r="H78">
            <v>0</v>
          </cell>
          <cell r="I78">
            <v>0.13109037164967299</v>
          </cell>
          <cell r="J78">
            <v>1.7768773456441601E-2</v>
          </cell>
          <cell r="K78">
            <v>0</v>
          </cell>
          <cell r="L78">
            <v>0.501046198810987</v>
          </cell>
          <cell r="M78">
            <v>1.49456972998107E-3</v>
          </cell>
          <cell r="N78">
            <v>0</v>
          </cell>
          <cell r="O78">
            <v>3</v>
          </cell>
          <cell r="P78">
            <v>0</v>
          </cell>
          <cell r="Q78">
            <v>0</v>
          </cell>
        </row>
        <row r="79">
          <cell r="A79" t="str">
            <v>Hyd_Pramod Tiwari (1008589)</v>
          </cell>
          <cell r="B79" t="str">
            <v>08:25:20</v>
          </cell>
          <cell r="C79" t="str">
            <v>02:54:03</v>
          </cell>
          <cell r="D79">
            <v>36</v>
          </cell>
          <cell r="E79">
            <v>0.71205509341333695</v>
          </cell>
          <cell r="F79">
            <v>0.314709762532982</v>
          </cell>
          <cell r="G79">
            <v>0.323779683377309</v>
          </cell>
          <cell r="H79">
            <v>3.2981530343007901E-5</v>
          </cell>
          <cell r="I79">
            <v>0.137598944591029</v>
          </cell>
          <cell r="J79">
            <v>2.0613456464379901E-2</v>
          </cell>
          <cell r="K79">
            <v>0</v>
          </cell>
          <cell r="L79">
            <v>0.51668865435356204</v>
          </cell>
          <cell r="M79">
            <v>1.28627968337731E-3</v>
          </cell>
          <cell r="N79">
            <v>1</v>
          </cell>
          <cell r="O79">
            <v>1</v>
          </cell>
          <cell r="P79">
            <v>0</v>
          </cell>
          <cell r="Q79">
            <v>1</v>
          </cell>
        </row>
        <row r="80">
          <cell r="A80" t="str">
            <v>Hyd_Prasannakumari S (1008590)</v>
          </cell>
          <cell r="B80" t="str">
            <v>08:08:02</v>
          </cell>
          <cell r="C80" t="str">
            <v>05:10:46</v>
          </cell>
          <cell r="D80">
            <v>37</v>
          </cell>
          <cell r="E80">
            <v>0.74354986641145304</v>
          </cell>
          <cell r="F80">
            <v>0.55600710333993597</v>
          </cell>
          <cell r="G80">
            <v>0.56334949798511003</v>
          </cell>
          <cell r="H80">
            <v>6.8301345536507104E-5</v>
          </cell>
          <cell r="I80">
            <v>0.216378662659654</v>
          </cell>
          <cell r="J80">
            <v>7.3355645106208595E-2</v>
          </cell>
          <cell r="K80">
            <v>0</v>
          </cell>
          <cell r="L80">
            <v>0.144286592445871</v>
          </cell>
          <cell r="M80">
            <v>2.5613004576190198E-3</v>
          </cell>
          <cell r="N80">
            <v>1</v>
          </cell>
          <cell r="O80">
            <v>12</v>
          </cell>
          <cell r="P80">
            <v>0</v>
          </cell>
          <cell r="Q80">
            <v>0</v>
          </cell>
        </row>
        <row r="81">
          <cell r="A81" t="str">
            <v>Hyd_Praveen Kumar (1008591)</v>
          </cell>
          <cell r="B81" t="str">
            <v>08:19:20</v>
          </cell>
          <cell r="C81" t="str">
            <v>04:08:46</v>
          </cell>
          <cell r="D81">
            <v>38</v>
          </cell>
          <cell r="E81">
            <v>0.72713986456861701</v>
          </cell>
          <cell r="F81">
            <v>0.46221628838451301</v>
          </cell>
          <cell r="G81">
            <v>0.46929238985313698</v>
          </cell>
          <cell r="H81">
            <v>1.0013351134846499E-4</v>
          </cell>
          <cell r="I81">
            <v>0.17523364485981299</v>
          </cell>
          <cell r="J81">
            <v>2.8805073431241699E-2</v>
          </cell>
          <cell r="K81">
            <v>0</v>
          </cell>
          <cell r="L81">
            <v>0.31535380507343103</v>
          </cell>
          <cell r="M81">
            <v>1.1214953271028E-2</v>
          </cell>
          <cell r="N81">
            <v>2</v>
          </cell>
          <cell r="O81">
            <v>5</v>
          </cell>
          <cell r="P81">
            <v>0</v>
          </cell>
          <cell r="Q81">
            <v>1</v>
          </cell>
        </row>
        <row r="82">
          <cell r="A82" t="str">
            <v>Hyd_Rachel Mathew (1008592)</v>
          </cell>
          <cell r="B82" t="str">
            <v>08:25:36</v>
          </cell>
          <cell r="C82" t="str">
            <v>03:40:53</v>
          </cell>
          <cell r="D82">
            <v>39</v>
          </cell>
          <cell r="E82">
            <v>0.72254934031185303</v>
          </cell>
          <cell r="F82">
            <v>0.39075685654008402</v>
          </cell>
          <cell r="G82">
            <v>0.39481144514767902</v>
          </cell>
          <cell r="H82">
            <v>1.8130274261603399E-3</v>
          </cell>
          <cell r="I82">
            <v>0.16561181434599101</v>
          </cell>
          <cell r="J82">
            <v>4.02492088607595E-2</v>
          </cell>
          <cell r="K82">
            <v>0</v>
          </cell>
          <cell r="L82">
            <v>0.39560258438818602</v>
          </cell>
          <cell r="M82">
            <v>1.9119198312236301E-3</v>
          </cell>
          <cell r="N82">
            <v>3</v>
          </cell>
          <cell r="O82">
            <v>5</v>
          </cell>
          <cell r="P82">
            <v>1</v>
          </cell>
          <cell r="Q82">
            <v>0</v>
          </cell>
        </row>
        <row r="83">
          <cell r="A83" t="str">
            <v>Hyd_Rachita Anupam (1008593)</v>
          </cell>
          <cell r="B83" t="str">
            <v>08:16:26</v>
          </cell>
          <cell r="C83" t="str">
            <v>05:16:03</v>
          </cell>
          <cell r="D83">
            <v>40</v>
          </cell>
          <cell r="E83">
            <v>0.73840582531832899</v>
          </cell>
          <cell r="F83">
            <v>0.54713623850130899</v>
          </cell>
          <cell r="G83">
            <v>0.55885315248774603</v>
          </cell>
          <cell r="H83">
            <v>3.05512656952931E-3</v>
          </cell>
          <cell r="I83">
            <v>0.21963338481165601</v>
          </cell>
          <cell r="J83">
            <v>7.4733096085409303E-2</v>
          </cell>
          <cell r="K83">
            <v>0</v>
          </cell>
          <cell r="L83">
            <v>0.13805143355939001</v>
          </cell>
          <cell r="M83">
            <v>5.6738064862687197E-3</v>
          </cell>
          <cell r="N83">
            <v>0</v>
          </cell>
          <cell r="O83">
            <v>8</v>
          </cell>
          <cell r="P83">
            <v>1</v>
          </cell>
          <cell r="Q83">
            <v>0</v>
          </cell>
        </row>
        <row r="84">
          <cell r="A84" t="str">
            <v>Hyd_Rachna Chauhan (1008594)</v>
          </cell>
          <cell r="B84" t="str">
            <v>07:36:07</v>
          </cell>
          <cell r="C84" t="str">
            <v>05:07:23</v>
          </cell>
          <cell r="D84">
            <v>41</v>
          </cell>
          <cell r="E84">
            <v>0.72135956506434096</v>
          </cell>
          <cell r="F84">
            <v>0.61457229509993805</v>
          </cell>
          <cell r="G84">
            <v>0.61786092739430698</v>
          </cell>
          <cell r="H84">
            <v>1.46161435305295E-4</v>
          </cell>
          <cell r="I84">
            <v>0.256294076807834</v>
          </cell>
          <cell r="J84">
            <v>5.5906749004275197E-2</v>
          </cell>
          <cell r="K84">
            <v>0</v>
          </cell>
          <cell r="L84">
            <v>6.6503453063909104E-2</v>
          </cell>
          <cell r="M84">
            <v>3.2886322943691299E-3</v>
          </cell>
          <cell r="N84">
            <v>4</v>
          </cell>
          <cell r="O84">
            <v>6</v>
          </cell>
          <cell r="P84">
            <v>0</v>
          </cell>
          <cell r="Q84">
            <v>0</v>
          </cell>
        </row>
        <row r="85">
          <cell r="A85" t="str">
            <v>Hyd_Raj Kumar (1008595)</v>
          </cell>
          <cell r="B85" t="str">
            <v>08:09:57</v>
          </cell>
          <cell r="C85" t="str">
            <v>05:03:51</v>
          </cell>
          <cell r="D85">
            <v>42</v>
          </cell>
          <cell r="E85">
            <v>0.71945540647198103</v>
          </cell>
          <cell r="F85">
            <v>0.55335578460387103</v>
          </cell>
          <cell r="G85">
            <v>0.56638432493111501</v>
          </cell>
          <cell r="H85">
            <v>2.0410245943463601E-4</v>
          </cell>
          <cell r="I85">
            <v>0.23444569173725199</v>
          </cell>
          <cell r="J85">
            <v>5.3576895601591998E-2</v>
          </cell>
          <cell r="K85">
            <v>0</v>
          </cell>
          <cell r="L85">
            <v>0.14028642378473999</v>
          </cell>
          <cell r="M85">
            <v>5.1025614858658998E-3</v>
          </cell>
          <cell r="N85">
            <v>1</v>
          </cell>
          <cell r="O85">
            <v>7</v>
          </cell>
          <cell r="P85">
            <v>0</v>
          </cell>
          <cell r="Q85">
            <v>0</v>
          </cell>
        </row>
        <row r="86">
          <cell r="A86" t="str">
            <v>Hyd_Rajeev Garg (1008596)</v>
          </cell>
          <cell r="B86" t="str">
            <v>08:04:00</v>
          </cell>
          <cell r="C86" t="str">
            <v>05:05:29</v>
          </cell>
          <cell r="D86">
            <v>43</v>
          </cell>
          <cell r="E86">
            <v>0.729077167859984</v>
          </cell>
          <cell r="F86">
            <v>0.611363636363636</v>
          </cell>
          <cell r="G86">
            <v>0.61907713498622596</v>
          </cell>
          <cell r="H86">
            <v>0</v>
          </cell>
          <cell r="I86">
            <v>0.22534435261708</v>
          </cell>
          <cell r="J86">
            <v>1.20867768595041E-2</v>
          </cell>
          <cell r="K86">
            <v>0</v>
          </cell>
          <cell r="L86">
            <v>0.14132231404958701</v>
          </cell>
          <cell r="M86">
            <v>2.1694214876033001E-3</v>
          </cell>
          <cell r="N86">
            <v>2</v>
          </cell>
          <cell r="O86">
            <v>1</v>
          </cell>
          <cell r="P86">
            <v>0</v>
          </cell>
          <cell r="Q86">
            <v>0</v>
          </cell>
        </row>
        <row r="87">
          <cell r="A87" t="str">
            <v>Hyd_Rajeev Kumar (1008597)</v>
          </cell>
          <cell r="B87" t="str">
            <v>07:59:43</v>
          </cell>
          <cell r="C87" t="str">
            <v>04:28:51</v>
          </cell>
          <cell r="D87">
            <v>44</v>
          </cell>
          <cell r="E87">
            <v>0.70183605986773401</v>
          </cell>
          <cell r="F87">
            <v>0.51217732689434703</v>
          </cell>
          <cell r="G87">
            <v>0.53271028037383195</v>
          </cell>
          <cell r="H87">
            <v>2.7446756766146699E-3</v>
          </cell>
          <cell r="I87">
            <v>0.23548622450752199</v>
          </cell>
          <cell r="J87">
            <v>2.4980022930201899E-2</v>
          </cell>
          <cell r="K87">
            <v>0</v>
          </cell>
          <cell r="L87">
            <v>0.202411145467811</v>
          </cell>
          <cell r="M87">
            <v>1.66765104401904E-3</v>
          </cell>
          <cell r="N87">
            <v>2</v>
          </cell>
          <cell r="O87">
            <v>4</v>
          </cell>
          <cell r="P87">
            <v>1</v>
          </cell>
          <cell r="Q87">
            <v>0</v>
          </cell>
        </row>
        <row r="88">
          <cell r="A88" t="str">
            <v>Hyd_Rajendra Gupta (1008598)</v>
          </cell>
          <cell r="B88" t="str">
            <v>08:25:57</v>
          </cell>
          <cell r="C88" t="str">
            <v>04:58:12</v>
          </cell>
          <cell r="D88">
            <v>45</v>
          </cell>
          <cell r="E88">
            <v>0.69814265646948603</v>
          </cell>
          <cell r="F88">
            <v>0.56029910728991705</v>
          </cell>
          <cell r="G88">
            <v>0.57551800243765805</v>
          </cell>
          <cell r="H88">
            <v>5.6000263530651896E-4</v>
          </cell>
          <cell r="I88">
            <v>0.24989294067266199</v>
          </cell>
          <cell r="J88">
            <v>1.3308297921402E-2</v>
          </cell>
          <cell r="K88">
            <v>0</v>
          </cell>
          <cell r="L88">
            <v>0.15640544190796199</v>
          </cell>
          <cell r="M88">
            <v>4.3153144250090598E-3</v>
          </cell>
          <cell r="N88">
            <v>1</v>
          </cell>
          <cell r="O88">
            <v>1</v>
          </cell>
          <cell r="P88">
            <v>0</v>
          </cell>
          <cell r="Q88">
            <v>0</v>
          </cell>
        </row>
        <row r="89">
          <cell r="A89" t="str">
            <v>Hyd_Rajendra Kumar (1008599)</v>
          </cell>
          <cell r="B89" t="str">
            <v>08:14:44</v>
          </cell>
          <cell r="C89" t="str">
            <v>03:55:22</v>
          </cell>
          <cell r="D89">
            <v>46</v>
          </cell>
          <cell r="E89">
            <v>0.68410599234607405</v>
          </cell>
          <cell r="F89">
            <v>0.42891793558819602</v>
          </cell>
          <cell r="G89">
            <v>0.44444818757579801</v>
          </cell>
          <cell r="H89">
            <v>2.0212909311413601E-4</v>
          </cell>
          <cell r="I89">
            <v>0.21048376229618601</v>
          </cell>
          <cell r="J89">
            <v>3.10941921573912E-2</v>
          </cell>
          <cell r="K89">
            <v>0</v>
          </cell>
          <cell r="L89">
            <v>0.31181781431074002</v>
          </cell>
          <cell r="M89">
            <v>1.9539145667699801E-3</v>
          </cell>
          <cell r="N89">
            <v>1</v>
          </cell>
          <cell r="O89">
            <v>4</v>
          </cell>
          <cell r="P89">
            <v>0</v>
          </cell>
          <cell r="Q89">
            <v>0</v>
          </cell>
        </row>
        <row r="90">
          <cell r="A90" t="str">
            <v>Hyd_Rajendra Prasad (1008600)</v>
          </cell>
          <cell r="B90" t="str">
            <v>08:22:34</v>
          </cell>
          <cell r="C90" t="str">
            <v>00:48:33</v>
          </cell>
          <cell r="D90">
            <v>47</v>
          </cell>
          <cell r="E90">
            <v>0.64120625137574305</v>
          </cell>
          <cell r="F90">
            <v>9.4547987000066294E-2</v>
          </cell>
          <cell r="G90">
            <v>9.4547987000066294E-2</v>
          </cell>
          <cell r="H90">
            <v>0</v>
          </cell>
          <cell r="I90">
            <v>4.6428334549313499E-2</v>
          </cell>
          <cell r="J90">
            <v>2.05611195861246E-3</v>
          </cell>
          <cell r="K90">
            <v>0</v>
          </cell>
          <cell r="L90">
            <v>0.85225840684486298</v>
          </cell>
          <cell r="M90">
            <v>4.70915964714466E-3</v>
          </cell>
          <cell r="N90">
            <v>1</v>
          </cell>
          <cell r="O90">
            <v>0</v>
          </cell>
          <cell r="P90">
            <v>0</v>
          </cell>
          <cell r="Q90">
            <v>0</v>
          </cell>
        </row>
        <row r="91">
          <cell r="A91" t="str">
            <v>Hyd_Rajesh Kumar (1008601)</v>
          </cell>
          <cell r="B91" t="str">
            <v>08:00:39</v>
          </cell>
          <cell r="C91" t="str">
            <v>05:11:50</v>
          </cell>
          <cell r="D91">
            <v>48</v>
          </cell>
          <cell r="E91">
            <v>0.76121892672606695</v>
          </cell>
          <cell r="F91">
            <v>0.61021533340268397</v>
          </cell>
          <cell r="G91">
            <v>0.61770519088733999</v>
          </cell>
          <cell r="H91">
            <v>2.01116543569472E-3</v>
          </cell>
          <cell r="I91">
            <v>0.19428551614133599</v>
          </cell>
          <cell r="J91">
            <v>2.9057873019175399E-2</v>
          </cell>
          <cell r="K91">
            <v>0</v>
          </cell>
          <cell r="L91">
            <v>0.149935850757655</v>
          </cell>
          <cell r="M91">
            <v>7.0044037587988503E-3</v>
          </cell>
          <cell r="N91">
            <v>1</v>
          </cell>
          <cell r="O91">
            <v>5</v>
          </cell>
          <cell r="P91">
            <v>1</v>
          </cell>
          <cell r="Q91">
            <v>0</v>
          </cell>
        </row>
        <row r="92">
          <cell r="A92" t="str">
            <v>Hyd_Rajesh Kumar (1008602)</v>
          </cell>
          <cell r="B92" t="str">
            <v>08:17:39</v>
          </cell>
          <cell r="C92" t="str">
            <v>04:49:40</v>
          </cell>
          <cell r="D92">
            <v>49</v>
          </cell>
          <cell r="E92">
            <v>0.771724168553794</v>
          </cell>
          <cell r="F92">
            <v>0.51260926353863201</v>
          </cell>
          <cell r="G92">
            <v>0.53709099434006502</v>
          </cell>
          <cell r="H92">
            <v>0</v>
          </cell>
          <cell r="I92">
            <v>0.15596637529723001</v>
          </cell>
          <cell r="J92">
            <v>4.4978063565424199E-2</v>
          </cell>
          <cell r="K92">
            <v>0</v>
          </cell>
          <cell r="L92">
            <v>0.25436216886030999</v>
          </cell>
          <cell r="M92">
            <v>7.6023979369704304E-3</v>
          </cell>
          <cell r="N92">
            <v>3</v>
          </cell>
          <cell r="O92">
            <v>8</v>
          </cell>
          <cell r="P92">
            <v>0</v>
          </cell>
          <cell r="Q92">
            <v>1</v>
          </cell>
        </row>
        <row r="93">
          <cell r="A93" t="str">
            <v>Hyd_Rajesh Sharma (1008603)</v>
          </cell>
          <cell r="B93" t="str">
            <v>05:04:31</v>
          </cell>
          <cell r="C93" t="str">
            <v>03:24:21</v>
          </cell>
          <cell r="D93">
            <v>50</v>
          </cell>
          <cell r="E93">
            <v>0.70603478060578095</v>
          </cell>
          <cell r="F93">
            <v>0.62426796562859199</v>
          </cell>
          <cell r="G93">
            <v>0.62596464342400504</v>
          </cell>
          <cell r="H93">
            <v>0</v>
          </cell>
          <cell r="I93">
            <v>0.243883750205243</v>
          </cell>
          <cell r="J93">
            <v>4.50987904329265E-2</v>
          </cell>
          <cell r="K93">
            <v>0</v>
          </cell>
          <cell r="L93">
            <v>8.0291171802309699E-2</v>
          </cell>
          <cell r="M93">
            <v>4.7616441355153001E-3</v>
          </cell>
          <cell r="N93">
            <v>1</v>
          </cell>
          <cell r="O93">
            <v>4</v>
          </cell>
          <cell r="P93">
            <v>0</v>
          </cell>
          <cell r="Q93">
            <v>0</v>
          </cell>
        </row>
        <row r="94">
          <cell r="A94" t="str">
            <v>Hyd_Raji Abraham (1008604)</v>
          </cell>
          <cell r="B94" t="str">
            <v>08:10:41</v>
          </cell>
          <cell r="C94" t="str">
            <v>04:44:35</v>
          </cell>
          <cell r="D94">
            <v>51</v>
          </cell>
          <cell r="E94">
            <v>0.67540840947747305</v>
          </cell>
          <cell r="F94">
            <v>0.54373153085832704</v>
          </cell>
          <cell r="G94">
            <v>0.55762372202031196</v>
          </cell>
          <cell r="H94">
            <v>3.3966237559865503E-5</v>
          </cell>
          <cell r="I94">
            <v>0.27590774769878701</v>
          </cell>
          <cell r="J94">
            <v>2.2315818076831601E-2</v>
          </cell>
          <cell r="K94">
            <v>0</v>
          </cell>
          <cell r="L94">
            <v>0.141571278149519</v>
          </cell>
          <cell r="M94">
            <v>2.5474678169899101E-3</v>
          </cell>
          <cell r="N94">
            <v>2</v>
          </cell>
          <cell r="O94">
            <v>3</v>
          </cell>
          <cell r="P94">
            <v>0</v>
          </cell>
          <cell r="Q94">
            <v>0</v>
          </cell>
        </row>
        <row r="95">
          <cell r="A95" t="str">
            <v>Hyd_Rajshree Dhabekar (1008605)</v>
          </cell>
          <cell r="B95" t="str">
            <v>08:15:13</v>
          </cell>
          <cell r="C95" t="str">
            <v>0</v>
          </cell>
          <cell r="D95">
            <v>52</v>
          </cell>
          <cell r="G95">
            <v>0</v>
          </cell>
          <cell r="H95">
            <v>0</v>
          </cell>
          <cell r="I95">
            <v>1.34621209571568E-4</v>
          </cell>
          <cell r="J95">
            <v>0</v>
          </cell>
          <cell r="K95">
            <v>0</v>
          </cell>
          <cell r="L95">
            <v>0.99986537879042803</v>
          </cell>
          <cell r="M95">
            <v>0</v>
          </cell>
          <cell r="N95" t="str">
            <v>0</v>
          </cell>
          <cell r="O95" t="str">
            <v>0</v>
          </cell>
          <cell r="P95" t="str">
            <v>0</v>
          </cell>
          <cell r="Q95" t="str">
            <v>0</v>
          </cell>
        </row>
        <row r="96">
          <cell r="A96" t="str">
            <v>Hyd_Rakhi Jodhani (1008606)</v>
          </cell>
          <cell r="B96" t="str">
            <v>08:02:52</v>
          </cell>
          <cell r="C96" t="str">
            <v>01:13:06</v>
          </cell>
          <cell r="D96">
            <v>53</v>
          </cell>
          <cell r="E96">
            <v>0.87790232185748596</v>
          </cell>
          <cell r="F96">
            <v>0.14431174927516199</v>
          </cell>
          <cell r="G96">
            <v>0.148936904597542</v>
          </cell>
          <cell r="H96">
            <v>0</v>
          </cell>
          <cell r="I96">
            <v>1.6360624050807699E-2</v>
          </cell>
          <cell r="J96">
            <v>2.45064199917161E-3</v>
          </cell>
          <cell r="K96">
            <v>0</v>
          </cell>
          <cell r="L96">
            <v>0.82783377053706997</v>
          </cell>
          <cell r="M96">
            <v>4.4180588154079797E-3</v>
          </cell>
          <cell r="N96">
            <v>1</v>
          </cell>
          <cell r="O96">
            <v>0</v>
          </cell>
          <cell r="P96">
            <v>0</v>
          </cell>
          <cell r="Q96">
            <v>0</v>
          </cell>
        </row>
        <row r="97">
          <cell r="A97" t="str">
            <v>Hyd_Ramji Prasad (1008607)</v>
          </cell>
          <cell r="B97" t="str">
            <v>08:19:26</v>
          </cell>
          <cell r="C97" t="str">
            <v>04:53:04</v>
          </cell>
          <cell r="D97">
            <v>54</v>
          </cell>
          <cell r="E97">
            <v>0.68049535603715205</v>
          </cell>
          <cell r="F97">
            <v>0.55259293866381898</v>
          </cell>
          <cell r="G97">
            <v>0.56517386371220701</v>
          </cell>
          <cell r="H97">
            <v>5.3393846359207095E-4</v>
          </cell>
          <cell r="I97">
            <v>0.26326503370486498</v>
          </cell>
          <cell r="J97">
            <v>2.1090569311886801E-2</v>
          </cell>
          <cell r="K97">
            <v>0</v>
          </cell>
          <cell r="L97">
            <v>0.14770072749115701</v>
          </cell>
          <cell r="M97">
            <v>2.2358673162917999E-3</v>
          </cell>
          <cell r="N97">
            <v>4</v>
          </cell>
          <cell r="O97">
            <v>4</v>
          </cell>
          <cell r="P97">
            <v>0</v>
          </cell>
          <cell r="Q97">
            <v>0</v>
          </cell>
        </row>
        <row r="98">
          <cell r="A98" t="str">
            <v>Del_Rashid (1008608)</v>
          </cell>
          <cell r="B98" t="str">
            <v>08:02:10</v>
          </cell>
          <cell r="C98" t="str">
            <v>01:36:08</v>
          </cell>
          <cell r="D98">
            <v>55</v>
          </cell>
          <cell r="E98">
            <v>0.70085054678007297</v>
          </cell>
          <cell r="F98">
            <v>0.18938817836156199</v>
          </cell>
          <cell r="G98">
            <v>0.19450397511233999</v>
          </cell>
          <cell r="H98">
            <v>5.1849291393017596E-4</v>
          </cell>
          <cell r="I98">
            <v>8.3961285862426502E-2</v>
          </cell>
          <cell r="J98">
            <v>4.35534047701348E-3</v>
          </cell>
          <cell r="K98">
            <v>0</v>
          </cell>
          <cell r="L98">
            <v>0.71596958174904901</v>
          </cell>
          <cell r="M98">
            <v>6.9132388524023505E-4</v>
          </cell>
          <cell r="N98">
            <v>0</v>
          </cell>
          <cell r="O98">
            <v>0</v>
          </cell>
          <cell r="P98">
            <v>0</v>
          </cell>
          <cell r="Q98">
            <v>0</v>
          </cell>
        </row>
        <row r="99">
          <cell r="A99" t="str">
            <v>Del_Rashmi Gajbe (1008609)</v>
          </cell>
          <cell r="B99" t="str">
            <v>08:20:42</v>
          </cell>
          <cell r="C99" t="str">
            <v>04:16:57</v>
          </cell>
          <cell r="D99">
            <v>56</v>
          </cell>
          <cell r="E99">
            <v>0.68072235959025096</v>
          </cell>
          <cell r="F99">
            <v>0.47077424938419499</v>
          </cell>
          <cell r="G99">
            <v>0.47776446308501402</v>
          </cell>
          <cell r="H99">
            <v>2.39664469742361E-3</v>
          </cell>
          <cell r="I99">
            <v>0.23280740296917601</v>
          </cell>
          <cell r="J99">
            <v>3.3020438053391901E-2</v>
          </cell>
          <cell r="K99">
            <v>0</v>
          </cell>
          <cell r="L99">
            <v>0.24958391585114201</v>
          </cell>
          <cell r="M99">
            <v>4.4271353438519404E-3</v>
          </cell>
          <cell r="N99">
            <v>0</v>
          </cell>
          <cell r="O99">
            <v>5</v>
          </cell>
          <cell r="P99">
            <v>1</v>
          </cell>
          <cell r="Q99">
            <v>1</v>
          </cell>
        </row>
        <row r="100">
          <cell r="A100" t="str">
            <v>Del_Ravi Kumar (1008610)</v>
          </cell>
          <cell r="B100" t="str">
            <v>08:00:44</v>
          </cell>
          <cell r="C100" t="str">
            <v>04:47:03</v>
          </cell>
          <cell r="D100">
            <v>57</v>
          </cell>
          <cell r="E100">
            <v>0.69796563462473704</v>
          </cell>
          <cell r="F100">
            <v>0.53862155040909698</v>
          </cell>
          <cell r="G100">
            <v>0.54503536264040997</v>
          </cell>
          <cell r="H100">
            <v>1.9761475523505799E-3</v>
          </cell>
          <cell r="I100">
            <v>0.251768132020524</v>
          </cell>
          <cell r="J100">
            <v>5.0097073914852297E-2</v>
          </cell>
          <cell r="K100">
            <v>0</v>
          </cell>
          <cell r="L100">
            <v>0.14817639717098899</v>
          </cell>
          <cell r="M100">
            <v>2.94688670087366E-3</v>
          </cell>
          <cell r="N100">
            <v>0</v>
          </cell>
          <cell r="O100">
            <v>6</v>
          </cell>
          <cell r="P100">
            <v>0</v>
          </cell>
          <cell r="Q100">
            <v>2</v>
          </cell>
        </row>
        <row r="101">
          <cell r="A101" t="str">
            <v>Del_Ravinder Kaur (1008611)</v>
          </cell>
          <cell r="B101" t="str">
            <v>08:01:53</v>
          </cell>
          <cell r="C101" t="str">
            <v>04:38:57</v>
          </cell>
          <cell r="D101">
            <v>58</v>
          </cell>
          <cell r="E101">
            <v>0.67621510242010396</v>
          </cell>
          <cell r="F101">
            <v>0.53294365856189296</v>
          </cell>
          <cell r="G101">
            <v>0.54141735551481995</v>
          </cell>
          <cell r="H101">
            <v>7.2631688167952102E-4</v>
          </cell>
          <cell r="I101">
            <v>0.27454778127485902</v>
          </cell>
          <cell r="J101">
            <v>3.6730882302078598E-2</v>
          </cell>
          <cell r="K101">
            <v>0</v>
          </cell>
          <cell r="L101">
            <v>0.14415660775429701</v>
          </cell>
          <cell r="M101">
            <v>2.4210562722650699E-3</v>
          </cell>
          <cell r="N101">
            <v>3</v>
          </cell>
          <cell r="O101">
            <v>8</v>
          </cell>
          <cell r="P101">
            <v>0</v>
          </cell>
          <cell r="Q101">
            <v>2</v>
          </cell>
        </row>
        <row r="102">
          <cell r="A102" t="str">
            <v>Del_Rekha Agarwal (1008612)</v>
          </cell>
          <cell r="B102" t="str">
            <v>05:53:52</v>
          </cell>
          <cell r="C102" t="str">
            <v>02:53:07</v>
          </cell>
          <cell r="D102">
            <v>59</v>
          </cell>
          <cell r="E102">
            <v>0.87051625879986605</v>
          </cell>
          <cell r="F102">
            <v>0.41310286360211002</v>
          </cell>
          <cell r="G102">
            <v>0.42214581763376002</v>
          </cell>
          <cell r="H102">
            <v>1.8745290128108501E-2</v>
          </cell>
          <cell r="I102">
            <v>4.95007535795026E-2</v>
          </cell>
          <cell r="J102">
            <v>4.8323285606631503E-2</v>
          </cell>
          <cell r="K102">
            <v>0</v>
          </cell>
          <cell r="L102">
            <v>0.45695177091183098</v>
          </cell>
          <cell r="M102">
            <v>4.3330821401657898E-3</v>
          </cell>
          <cell r="N102">
            <v>0</v>
          </cell>
          <cell r="O102">
            <v>6</v>
          </cell>
          <cell r="P102">
            <v>2</v>
          </cell>
          <cell r="Q102">
            <v>0</v>
          </cell>
        </row>
        <row r="103">
          <cell r="A103" t="str">
            <v>Del_Rekha Gupta (1008613)</v>
          </cell>
          <cell r="B103" t="str">
            <v>08:16:02</v>
          </cell>
          <cell r="C103" t="str">
            <v>04:22:52</v>
          </cell>
          <cell r="D103">
            <v>60</v>
          </cell>
          <cell r="E103">
            <v>0.68126646797114598</v>
          </cell>
          <cell r="F103">
            <v>0.50483838451717</v>
          </cell>
          <cell r="G103">
            <v>0.51501915193871395</v>
          </cell>
          <cell r="H103">
            <v>1.3439956992137599E-4</v>
          </cell>
          <cell r="I103">
            <v>0.24420401854714099</v>
          </cell>
          <cell r="J103">
            <v>1.4783952691351399E-2</v>
          </cell>
          <cell r="K103">
            <v>0</v>
          </cell>
          <cell r="L103">
            <v>0.22300248639204401</v>
          </cell>
          <cell r="M103">
            <v>2.85599086082925E-3</v>
          </cell>
          <cell r="N103">
            <v>2</v>
          </cell>
          <cell r="O103">
            <v>1</v>
          </cell>
          <cell r="P103">
            <v>0</v>
          </cell>
          <cell r="Q103">
            <v>0</v>
          </cell>
        </row>
        <row r="104">
          <cell r="A104" t="str">
            <v>Del_Rekha Jain  (1008614)</v>
          </cell>
          <cell r="B104" t="str">
            <v>08:15:42</v>
          </cell>
          <cell r="C104" t="str">
            <v>04:25:29</v>
          </cell>
          <cell r="D104">
            <v>61</v>
          </cell>
          <cell r="E104">
            <v>0.66398499374739495</v>
          </cell>
          <cell r="F104">
            <v>0.52390558805729304</v>
          </cell>
          <cell r="G104">
            <v>0.52800753143702495</v>
          </cell>
          <cell r="H104">
            <v>0</v>
          </cell>
          <cell r="I104">
            <v>0.26605473740837898</v>
          </cell>
          <cell r="J104">
            <v>7.5650595118014899E-3</v>
          </cell>
          <cell r="K104">
            <v>0</v>
          </cell>
          <cell r="L104">
            <v>0.19558200524510799</v>
          </cell>
          <cell r="M104">
            <v>2.79066639768677E-3</v>
          </cell>
          <cell r="N104">
            <v>5</v>
          </cell>
          <cell r="O104">
            <v>0</v>
          </cell>
          <cell r="P104">
            <v>0</v>
          </cell>
          <cell r="Q104">
            <v>0</v>
          </cell>
        </row>
        <row r="105">
          <cell r="A105" t="str">
            <v>Del_Renu Pratap (1008615)</v>
          </cell>
          <cell r="B105" t="str">
            <v>08:16:30</v>
          </cell>
          <cell r="C105" t="str">
            <v>02:30:29</v>
          </cell>
          <cell r="D105">
            <v>62</v>
          </cell>
          <cell r="E105">
            <v>0.79396763981709495</v>
          </cell>
          <cell r="F105">
            <v>0.25444780127559602</v>
          </cell>
          <cell r="G105">
            <v>0.27710641154749899</v>
          </cell>
          <cell r="H105">
            <v>0</v>
          </cell>
          <cell r="I105">
            <v>7.51258811681772E-2</v>
          </cell>
          <cell r="J105">
            <v>2.5981873111782499E-2</v>
          </cell>
          <cell r="K105">
            <v>0</v>
          </cell>
          <cell r="L105">
            <v>0.62017455521987197</v>
          </cell>
          <cell r="M105">
            <v>1.6112789526686799E-3</v>
          </cell>
          <cell r="N105">
            <v>1</v>
          </cell>
          <cell r="O105">
            <v>4</v>
          </cell>
          <cell r="P105">
            <v>0</v>
          </cell>
          <cell r="Q105">
            <v>1</v>
          </cell>
        </row>
        <row r="106">
          <cell r="A106" t="str">
            <v>Del_Ritu Bhatnagar (1008616)</v>
          </cell>
          <cell r="B106" t="str">
            <v>08:01:48</v>
          </cell>
          <cell r="C106" t="str">
            <v>04:52:13</v>
          </cell>
          <cell r="D106">
            <v>63</v>
          </cell>
          <cell r="E106">
            <v>0.71324546416076795</v>
          </cell>
          <cell r="F106">
            <v>0.55517503805174995</v>
          </cell>
          <cell r="G106">
            <v>0.56316590563165903</v>
          </cell>
          <cell r="H106">
            <v>0</v>
          </cell>
          <cell r="I106">
            <v>0.239380102393801</v>
          </cell>
          <cell r="J106">
            <v>4.3344402933444E-2</v>
          </cell>
          <cell r="K106">
            <v>0</v>
          </cell>
          <cell r="L106">
            <v>0.15220700152207001</v>
          </cell>
          <cell r="M106">
            <v>1.9025875190258801E-3</v>
          </cell>
          <cell r="N106">
            <v>3</v>
          </cell>
          <cell r="O106">
            <v>5</v>
          </cell>
          <cell r="P106">
            <v>0</v>
          </cell>
          <cell r="Q106">
            <v>1</v>
          </cell>
        </row>
        <row r="107">
          <cell r="A107" t="str">
            <v>Del_Rohit Nishchal (1008617)</v>
          </cell>
          <cell r="B107" t="str">
            <v>08:17:09</v>
          </cell>
          <cell r="D107">
            <v>64</v>
          </cell>
          <cell r="G107">
            <v>0</v>
          </cell>
          <cell r="H107">
            <v>0</v>
          </cell>
          <cell r="I107">
            <v>3.0171980287639502E-4</v>
          </cell>
          <cell r="J107">
            <v>0</v>
          </cell>
          <cell r="K107">
            <v>0</v>
          </cell>
          <cell r="L107">
            <v>0.99969828019712303</v>
          </cell>
          <cell r="M107">
            <v>0</v>
          </cell>
          <cell r="N107" t="str">
            <v>0</v>
          </cell>
          <cell r="O107" t="str">
            <v>0</v>
          </cell>
          <cell r="P107" t="str">
            <v>0</v>
          </cell>
          <cell r="Q107" t="str">
            <v>0</v>
          </cell>
        </row>
        <row r="108">
          <cell r="A108" t="str">
            <v>Del_Roli Bhatnagar (1008618)</v>
          </cell>
          <cell r="B108" t="str">
            <v>08:15:43</v>
          </cell>
          <cell r="C108" t="str">
            <v>04:08:30</v>
          </cell>
          <cell r="D108">
            <v>65</v>
          </cell>
          <cell r="E108">
            <v>0.67973558240255305</v>
          </cell>
          <cell r="F108">
            <v>0.477120667047709</v>
          </cell>
          <cell r="G108">
            <v>0.47967589012540801</v>
          </cell>
          <cell r="H108">
            <v>1.0758834011364001E-3</v>
          </cell>
          <cell r="I108">
            <v>0.23333221262145701</v>
          </cell>
          <cell r="J108">
            <v>2.0542648690448199E-2</v>
          </cell>
          <cell r="K108">
            <v>0</v>
          </cell>
          <cell r="L108">
            <v>0.26278452072756597</v>
          </cell>
          <cell r="M108">
            <v>2.5888444339844702E-3</v>
          </cell>
          <cell r="N108">
            <v>3</v>
          </cell>
          <cell r="O108">
            <v>3</v>
          </cell>
          <cell r="P108">
            <v>1</v>
          </cell>
          <cell r="Q108">
            <v>0</v>
          </cell>
        </row>
        <row r="109">
          <cell r="A109" t="str">
            <v>Del_Roma Rastogi (1008619)</v>
          </cell>
          <cell r="B109" t="str">
            <v>08:31:02</v>
          </cell>
          <cell r="C109" t="str">
            <v>05:35:38</v>
          </cell>
          <cell r="D109">
            <v>66</v>
          </cell>
          <cell r="E109">
            <v>0.73349116736477904</v>
          </cell>
          <cell r="F109">
            <v>0.61917030852521004</v>
          </cell>
          <cell r="G109">
            <v>0.62725849585806503</v>
          </cell>
          <cell r="H109">
            <v>8.80568782205988E-4</v>
          </cell>
          <cell r="I109">
            <v>0.23256799947818099</v>
          </cell>
          <cell r="J109">
            <v>2.86347922509947E-2</v>
          </cell>
          <cell r="K109">
            <v>0</v>
          </cell>
          <cell r="L109">
            <v>0.105244276302916</v>
          </cell>
          <cell r="M109">
            <v>5.4138673276368102E-3</v>
          </cell>
          <cell r="N109">
            <v>4</v>
          </cell>
          <cell r="O109">
            <v>4</v>
          </cell>
          <cell r="P109">
            <v>0</v>
          </cell>
          <cell r="Q109">
            <v>1</v>
          </cell>
        </row>
        <row r="110">
          <cell r="A110" t="str">
            <v>Del_Roohi Haider (1008620)</v>
          </cell>
          <cell r="B110" t="str">
            <v>08:00:11</v>
          </cell>
          <cell r="C110" t="str">
            <v>04:52:11</v>
          </cell>
          <cell r="D110">
            <v>67</v>
          </cell>
          <cell r="E110">
            <v>0.71079305870904996</v>
          </cell>
          <cell r="F110">
            <v>0.55305265350039901</v>
          </cell>
          <cell r="G110">
            <v>0.56457602998854595</v>
          </cell>
          <cell r="H110">
            <v>3.4708965325743603E-5</v>
          </cell>
          <cell r="I110">
            <v>0.24383048141334901</v>
          </cell>
          <cell r="J110">
            <v>4.3872132171739998E-2</v>
          </cell>
          <cell r="K110">
            <v>0</v>
          </cell>
          <cell r="L110">
            <v>0.14452813161639599</v>
          </cell>
          <cell r="M110">
            <v>3.1585158446426698E-3</v>
          </cell>
          <cell r="N110">
            <v>1</v>
          </cell>
          <cell r="O110">
            <v>7</v>
          </cell>
          <cell r="P110">
            <v>0</v>
          </cell>
          <cell r="Q110">
            <v>0</v>
          </cell>
        </row>
        <row r="111">
          <cell r="A111" t="str">
            <v>Del_Sajid Naqvi (1008621)</v>
          </cell>
          <cell r="B111" t="str">
            <v>08:15:48</v>
          </cell>
          <cell r="C111" t="str">
            <v>05:00:37</v>
          </cell>
          <cell r="D111">
            <v>68</v>
          </cell>
          <cell r="E111">
            <v>0.70349857638753499</v>
          </cell>
          <cell r="F111">
            <v>0.56195374478956595</v>
          </cell>
          <cell r="G111">
            <v>0.56595401371520804</v>
          </cell>
          <cell r="H111">
            <v>1.3446282102998501E-4</v>
          </cell>
          <cell r="I111">
            <v>0.25248756218905499</v>
          </cell>
          <cell r="J111">
            <v>4.0237999193223101E-2</v>
          </cell>
          <cell r="K111">
            <v>0</v>
          </cell>
          <cell r="L111">
            <v>0.13849670566088501</v>
          </cell>
          <cell r="M111">
            <v>2.6892564205997001E-3</v>
          </cell>
          <cell r="N111">
            <v>3</v>
          </cell>
          <cell r="O111">
            <v>6</v>
          </cell>
          <cell r="P111">
            <v>0</v>
          </cell>
          <cell r="Q111">
            <v>0</v>
          </cell>
        </row>
        <row r="112">
          <cell r="A112" t="str">
            <v>Del_Salim (1008622)</v>
          </cell>
          <cell r="B112" t="str">
            <v>08:15:56</v>
          </cell>
          <cell r="C112" t="str">
            <v>04:37:42</v>
          </cell>
          <cell r="D112">
            <v>69</v>
          </cell>
          <cell r="E112">
            <v>0.73491531404375399</v>
          </cell>
          <cell r="F112">
            <v>0.48780077967468699</v>
          </cell>
          <cell r="G112">
            <v>0.50467132679123505</v>
          </cell>
          <cell r="H112">
            <v>7.79674687457992E-3</v>
          </cell>
          <cell r="I112">
            <v>0.19612851189676</v>
          </cell>
          <cell r="J112">
            <v>4.74862212662992E-2</v>
          </cell>
          <cell r="K112">
            <v>0</v>
          </cell>
          <cell r="L112">
            <v>0.24092619975803201</v>
          </cell>
          <cell r="M112">
            <v>2.9909934130931599E-3</v>
          </cell>
          <cell r="N112">
            <v>2</v>
          </cell>
          <cell r="O112">
            <v>6</v>
          </cell>
          <cell r="P112">
            <v>1</v>
          </cell>
          <cell r="Q112">
            <v>2</v>
          </cell>
        </row>
        <row r="113">
          <cell r="A113" t="str">
            <v>Del_Sanjay Hire (1008623)</v>
          </cell>
          <cell r="B113" t="str">
            <v>08:15:52</v>
          </cell>
          <cell r="C113" t="str">
            <v>05:00:14</v>
          </cell>
          <cell r="D113">
            <v>70</v>
          </cell>
          <cell r="E113">
            <v>0.70334218335155396</v>
          </cell>
          <cell r="F113">
            <v>0.55414762032804499</v>
          </cell>
          <cell r="G113">
            <v>0.56332347405216399</v>
          </cell>
          <cell r="H113">
            <v>1.1091691314869599E-3</v>
          </cell>
          <cell r="I113">
            <v>0.245899435332078</v>
          </cell>
          <cell r="J113">
            <v>4.1039257865017498E-2</v>
          </cell>
          <cell r="K113">
            <v>0</v>
          </cell>
          <cell r="L113">
            <v>0.14059559021242299</v>
          </cell>
          <cell r="M113">
            <v>8.0330734068297903E-3</v>
          </cell>
          <cell r="N113">
            <v>3</v>
          </cell>
          <cell r="O113">
            <v>7</v>
          </cell>
          <cell r="P113">
            <v>1</v>
          </cell>
          <cell r="Q113">
            <v>0</v>
          </cell>
        </row>
        <row r="114">
          <cell r="A114" t="str">
            <v>Del_Sanjiv Subherwal (1008624)</v>
          </cell>
          <cell r="B114" t="str">
            <v>08:02:17</v>
          </cell>
          <cell r="C114" t="str">
            <v>05:06:07</v>
          </cell>
          <cell r="D114">
            <v>71</v>
          </cell>
          <cell r="E114">
            <v>0.74219097264314904</v>
          </cell>
          <cell r="F114">
            <v>0.58651553374572396</v>
          </cell>
          <cell r="G114">
            <v>0.59615716902235905</v>
          </cell>
          <cell r="H114">
            <v>6.9115665065487103E-5</v>
          </cell>
          <cell r="I114">
            <v>0.21750699796108799</v>
          </cell>
          <cell r="J114">
            <v>3.8497425441476302E-2</v>
          </cell>
          <cell r="K114">
            <v>0</v>
          </cell>
          <cell r="L114">
            <v>0.145661264125514</v>
          </cell>
          <cell r="M114">
            <v>2.10802778449736E-3</v>
          </cell>
          <cell r="N114">
            <v>2</v>
          </cell>
          <cell r="O114">
            <v>6</v>
          </cell>
          <cell r="P114">
            <v>0</v>
          </cell>
          <cell r="Q114">
            <v>0</v>
          </cell>
        </row>
        <row r="115">
          <cell r="A115" t="str">
            <v>Del_Sanju Ramdas (1008625)</v>
          </cell>
          <cell r="B115" t="str">
            <v>08:15:58</v>
          </cell>
          <cell r="C115" t="str">
            <v>05:19:44</v>
          </cell>
          <cell r="D115">
            <v>72</v>
          </cell>
          <cell r="E115">
            <v>0.75727312201476304</v>
          </cell>
          <cell r="F115">
            <v>0.58165871362322696</v>
          </cell>
          <cell r="G115">
            <v>0.591572014248269</v>
          </cell>
          <cell r="H115">
            <v>3.0243968008602699E-4</v>
          </cell>
          <cell r="I115">
            <v>0.203609113515693</v>
          </cell>
          <cell r="J115">
            <v>5.2792526379460997E-2</v>
          </cell>
          <cell r="K115">
            <v>0</v>
          </cell>
          <cell r="L115">
            <v>0.14906915787351299</v>
          </cell>
          <cell r="M115">
            <v>2.65474830297735E-3</v>
          </cell>
          <cell r="N115">
            <v>3</v>
          </cell>
          <cell r="O115">
            <v>9</v>
          </cell>
          <cell r="P115">
            <v>0</v>
          </cell>
          <cell r="Q115">
            <v>4</v>
          </cell>
        </row>
        <row r="116">
          <cell r="A116" t="str">
            <v>Del_Santosh Kumar (1008626)</v>
          </cell>
          <cell r="B116" t="str">
            <v>08:00:32</v>
          </cell>
          <cell r="C116" t="str">
            <v>05:03:10</v>
          </cell>
          <cell r="D116">
            <v>73</v>
          </cell>
          <cell r="E116">
            <v>0.73745236357739397</v>
          </cell>
          <cell r="F116">
            <v>0.59073251942286398</v>
          </cell>
          <cell r="G116">
            <v>0.60477941176470595</v>
          </cell>
          <cell r="H116">
            <v>1.3873473917868999E-4</v>
          </cell>
          <cell r="I116">
            <v>0.21885405105438399</v>
          </cell>
          <cell r="J116">
            <v>2.59780799112098E-2</v>
          </cell>
          <cell r="K116">
            <v>0</v>
          </cell>
          <cell r="L116">
            <v>0.145255271920089</v>
          </cell>
          <cell r="M116">
            <v>4.9944506104328502E-3</v>
          </cell>
          <cell r="N116">
            <v>2</v>
          </cell>
          <cell r="O116">
            <v>4</v>
          </cell>
          <cell r="P116">
            <v>0</v>
          </cell>
          <cell r="Q116">
            <v>0</v>
          </cell>
        </row>
        <row r="117">
          <cell r="A117" t="str">
            <v>Del_Santosh Kumar (1008627)</v>
          </cell>
          <cell r="B117" t="str">
            <v>08:17:04</v>
          </cell>
          <cell r="C117" t="str">
            <v>05:09:57</v>
          </cell>
          <cell r="D117">
            <v>74</v>
          </cell>
          <cell r="E117">
            <v>0.72636019216498104</v>
          </cell>
          <cell r="F117">
            <v>0.58640692060085797</v>
          </cell>
          <cell r="G117">
            <v>0.58717811158798305</v>
          </cell>
          <cell r="H117">
            <v>1.5088519313304701E-3</v>
          </cell>
          <cell r="I117">
            <v>0.23226260729613701</v>
          </cell>
          <cell r="J117">
            <v>3.4871244635193102E-2</v>
          </cell>
          <cell r="K117">
            <v>0</v>
          </cell>
          <cell r="L117">
            <v>0.14277092274678099</v>
          </cell>
          <cell r="M117">
            <v>1.4082618025751099E-3</v>
          </cell>
          <cell r="N117">
            <v>4</v>
          </cell>
          <cell r="O117">
            <v>4</v>
          </cell>
          <cell r="P117">
            <v>1</v>
          </cell>
          <cell r="Q117">
            <v>0</v>
          </cell>
        </row>
        <row r="118">
          <cell r="A118" t="str">
            <v>Del_Santosh Kumar (1008628)</v>
          </cell>
          <cell r="B118" t="str">
            <v>08:02:59</v>
          </cell>
          <cell r="C118" t="str">
            <v>04:44:19</v>
          </cell>
          <cell r="D118">
            <v>75</v>
          </cell>
          <cell r="E118">
            <v>0.68830697224015502</v>
          </cell>
          <cell r="F118">
            <v>0.54653369681493502</v>
          </cell>
          <cell r="G118">
            <v>0.54957037854998403</v>
          </cell>
          <cell r="H118">
            <v>4.8310845784878698E-4</v>
          </cell>
          <cell r="I118">
            <v>0.26067152075640998</v>
          </cell>
          <cell r="J118">
            <v>3.8614168880913798E-2</v>
          </cell>
          <cell r="K118">
            <v>0</v>
          </cell>
          <cell r="L118">
            <v>0.149107974740329</v>
          </cell>
          <cell r="M118">
            <v>1.55284861451396E-3</v>
          </cell>
          <cell r="N118">
            <v>2</v>
          </cell>
          <cell r="O118">
            <v>6</v>
          </cell>
          <cell r="P118">
            <v>0</v>
          </cell>
          <cell r="Q118">
            <v>2</v>
          </cell>
        </row>
        <row r="119">
          <cell r="A119" t="str">
            <v>Del_Sapna Sharma (1008629)</v>
          </cell>
          <cell r="B119" t="str">
            <v>08:04:14</v>
          </cell>
          <cell r="C119" t="str">
            <v>04:33:29</v>
          </cell>
          <cell r="D119">
            <v>76</v>
          </cell>
          <cell r="E119">
            <v>0.69671365489130399</v>
          </cell>
          <cell r="F119">
            <v>0.53238796723342696</v>
          </cell>
          <cell r="G119">
            <v>0.55586149927720796</v>
          </cell>
          <cell r="H119">
            <v>6.8837337371790503E-5</v>
          </cell>
          <cell r="I119">
            <v>0.24199765953052901</v>
          </cell>
          <cell r="J119">
            <v>8.8455978522750701E-3</v>
          </cell>
          <cell r="K119">
            <v>0</v>
          </cell>
          <cell r="L119">
            <v>0.19126454188752001</v>
          </cell>
          <cell r="M119">
            <v>1.9618641150960302E-3</v>
          </cell>
          <cell r="N119">
            <v>1</v>
          </cell>
          <cell r="O119">
            <v>0</v>
          </cell>
          <cell r="P119">
            <v>0</v>
          </cell>
          <cell r="Q119">
            <v>0</v>
          </cell>
        </row>
        <row r="120">
          <cell r="A120" t="str">
            <v>Del_Saroj Parita (1008630)</v>
          </cell>
          <cell r="B120" t="str">
            <v>08:01:59</v>
          </cell>
          <cell r="C120" t="str">
            <v>04:31:42</v>
          </cell>
          <cell r="D120">
            <v>77</v>
          </cell>
          <cell r="E120">
            <v>0.71026490066225201</v>
          </cell>
          <cell r="F120">
            <v>0.47020989660776702</v>
          </cell>
          <cell r="G120">
            <v>0.48556312458937001</v>
          </cell>
          <cell r="H120">
            <v>1.95027490577129E-2</v>
          </cell>
          <cell r="I120">
            <v>0.209827449081918</v>
          </cell>
          <cell r="J120">
            <v>5.81970330924306E-2</v>
          </cell>
          <cell r="K120">
            <v>0</v>
          </cell>
          <cell r="L120">
            <v>0.21912929216086299</v>
          </cell>
          <cell r="M120">
            <v>7.7803520177046198E-3</v>
          </cell>
          <cell r="N120">
            <v>1</v>
          </cell>
          <cell r="O120">
            <v>7</v>
          </cell>
          <cell r="P120">
            <v>3</v>
          </cell>
          <cell r="Q120">
            <v>2</v>
          </cell>
        </row>
        <row r="121">
          <cell r="A121" t="str">
            <v>Del_Shailaja Kamal (1008631)</v>
          </cell>
          <cell r="B121" t="str">
            <v>08:09:14</v>
          </cell>
          <cell r="C121" t="str">
            <v>04:51:46</v>
          </cell>
          <cell r="D121">
            <v>78</v>
          </cell>
          <cell r="E121">
            <v>0.69223773182015902</v>
          </cell>
          <cell r="F121">
            <v>0.54633099407235797</v>
          </cell>
          <cell r="G121">
            <v>0.56847448388635302</v>
          </cell>
          <cell r="H121">
            <v>0</v>
          </cell>
          <cell r="I121">
            <v>0.25962390134223601</v>
          </cell>
          <cell r="J121">
            <v>2.79007971656333E-2</v>
          </cell>
          <cell r="K121">
            <v>0</v>
          </cell>
          <cell r="L121">
            <v>0.140560059957757</v>
          </cell>
          <cell r="M121">
            <v>3.44075764802071E-3</v>
          </cell>
          <cell r="N121">
            <v>0</v>
          </cell>
          <cell r="O121">
            <v>2</v>
          </cell>
          <cell r="P121">
            <v>0</v>
          </cell>
          <cell r="Q121">
            <v>0</v>
          </cell>
        </row>
        <row r="122">
          <cell r="A122" t="str">
            <v>Del_Shailendra Barge (1008632)</v>
          </cell>
          <cell r="B122" t="str">
            <v>08:17:38</v>
          </cell>
          <cell r="C122" t="str">
            <v>03:26:09</v>
          </cell>
          <cell r="D122">
            <v>79</v>
          </cell>
          <cell r="E122">
            <v>0.74489611562782299</v>
          </cell>
          <cell r="F122">
            <v>0.38820416638756799</v>
          </cell>
          <cell r="G122">
            <v>0.38914193850894202</v>
          </cell>
          <cell r="H122">
            <v>0</v>
          </cell>
          <cell r="I122">
            <v>0.13614441690669199</v>
          </cell>
          <cell r="J122">
            <v>2.5118896108245699E-2</v>
          </cell>
          <cell r="K122">
            <v>0</v>
          </cell>
          <cell r="L122">
            <v>0.44832205773996903</v>
          </cell>
          <cell r="M122">
            <v>1.27269073615112E-3</v>
          </cell>
          <cell r="N122">
            <v>2</v>
          </cell>
          <cell r="O122">
            <v>3</v>
          </cell>
          <cell r="P122">
            <v>0</v>
          </cell>
          <cell r="Q122">
            <v>0</v>
          </cell>
        </row>
        <row r="123">
          <cell r="A123" t="str">
            <v>Del_Shankar Attendant (1008633)</v>
          </cell>
          <cell r="B123" t="str">
            <v>07:57:56</v>
          </cell>
          <cell r="C123" t="str">
            <v>03:27:15</v>
          </cell>
          <cell r="D123">
            <v>80</v>
          </cell>
          <cell r="E123">
            <v>0.73147058823529398</v>
          </cell>
          <cell r="F123">
            <v>0.40277584042404802</v>
          </cell>
          <cell r="G123">
            <v>0.41396987027479398</v>
          </cell>
          <cell r="H123">
            <v>2.4410656995396801E-4</v>
          </cell>
          <cell r="I123">
            <v>0.15385688380527299</v>
          </cell>
          <cell r="J123">
            <v>1.94239084949086E-2</v>
          </cell>
          <cell r="K123">
            <v>0</v>
          </cell>
          <cell r="L123">
            <v>0.40818105733017102</v>
          </cell>
          <cell r="M123">
            <v>4.3241735248988698E-3</v>
          </cell>
          <cell r="N123">
            <v>1</v>
          </cell>
          <cell r="O123">
            <v>1</v>
          </cell>
          <cell r="P123">
            <v>0</v>
          </cell>
          <cell r="Q123">
            <v>0</v>
          </cell>
        </row>
        <row r="124">
          <cell r="A124" t="str">
            <v>Del_Shashikant Tiwari (1008634)</v>
          </cell>
          <cell r="B124" t="str">
            <v>08:14:55</v>
          </cell>
          <cell r="C124" t="str">
            <v>05:19:10</v>
          </cell>
          <cell r="D124">
            <v>81</v>
          </cell>
          <cell r="E124">
            <v>0.74915890775369698</v>
          </cell>
          <cell r="F124">
            <v>0.54352584610203702</v>
          </cell>
          <cell r="G124">
            <v>0.57595554807206595</v>
          </cell>
          <cell r="H124">
            <v>6.7351405960599405E-5</v>
          </cell>
          <cell r="I124">
            <v>0.208823034180839</v>
          </cell>
          <cell r="J124">
            <v>6.8866812594712903E-2</v>
          </cell>
          <cell r="K124">
            <v>0</v>
          </cell>
          <cell r="L124">
            <v>0.141404276814278</v>
          </cell>
          <cell r="M124">
            <v>4.8829769321434603E-3</v>
          </cell>
          <cell r="N124">
            <v>1</v>
          </cell>
          <cell r="O124">
            <v>10</v>
          </cell>
          <cell r="P124">
            <v>0</v>
          </cell>
          <cell r="Q124">
            <v>0</v>
          </cell>
        </row>
        <row r="125">
          <cell r="A125" t="str">
            <v>Del_Sheeba Joseph (1008635)</v>
          </cell>
          <cell r="B125" t="str">
            <v>08:30:57</v>
          </cell>
          <cell r="C125" t="str">
            <v>03:41:07</v>
          </cell>
          <cell r="D125">
            <v>82</v>
          </cell>
          <cell r="E125">
            <v>0.481106759501015</v>
          </cell>
          <cell r="F125">
            <v>0.28371986821932998</v>
          </cell>
          <cell r="G125">
            <v>0.310467429950745</v>
          </cell>
          <cell r="H125">
            <v>1.9571386632742899E-3</v>
          </cell>
          <cell r="I125">
            <v>0.44612975829337498</v>
          </cell>
          <cell r="J125">
            <v>0.120331408813648</v>
          </cell>
          <cell r="K125">
            <v>0</v>
          </cell>
          <cell r="L125">
            <v>0.10891476661121401</v>
          </cell>
          <cell r="M125">
            <v>1.2199497667743101E-2</v>
          </cell>
          <cell r="N125">
            <v>0</v>
          </cell>
          <cell r="O125">
            <v>13</v>
          </cell>
          <cell r="P125">
            <v>0</v>
          </cell>
          <cell r="Q125">
            <v>2</v>
          </cell>
        </row>
        <row r="126">
          <cell r="A126" t="str">
            <v>Del_Sheena Joseph (1008636)</v>
          </cell>
          <cell r="B126" t="str">
            <v>08:49:34</v>
          </cell>
          <cell r="C126" t="str">
            <v>05:10:26</v>
          </cell>
          <cell r="D126">
            <v>83</v>
          </cell>
          <cell r="E126">
            <v>0.72348028743445303</v>
          </cell>
          <cell r="F126">
            <v>0.56196890539434796</v>
          </cell>
          <cell r="G126">
            <v>0.56445521495562401</v>
          </cell>
          <cell r="H126">
            <v>2.92692138226223E-3</v>
          </cell>
          <cell r="I126">
            <v>0.217378989110593</v>
          </cell>
          <cell r="J126">
            <v>1.8820419210675399E-2</v>
          </cell>
          <cell r="K126">
            <v>0</v>
          </cell>
          <cell r="L126">
            <v>0.191666142128784</v>
          </cell>
          <cell r="M126">
            <v>4.75231321206017E-3</v>
          </cell>
          <cell r="N126">
            <v>1</v>
          </cell>
          <cell r="O126">
            <v>2</v>
          </cell>
          <cell r="P126">
            <v>1</v>
          </cell>
          <cell r="Q126">
            <v>0</v>
          </cell>
        </row>
        <row r="127">
          <cell r="A127" t="str">
            <v>Del_Shephali Jain (1008637)</v>
          </cell>
          <cell r="B127" t="str">
            <v>08:25:43</v>
          </cell>
          <cell r="C127" t="str">
            <v>03:41:29</v>
          </cell>
          <cell r="D127">
            <v>84</v>
          </cell>
          <cell r="E127">
            <v>0.73116918844566703</v>
          </cell>
          <cell r="F127">
            <v>0.40332201825791802</v>
          </cell>
          <cell r="G127">
            <v>0.406321062518538</v>
          </cell>
          <cell r="H127">
            <v>3.2956530336486201E-5</v>
          </cell>
          <cell r="I127">
            <v>0.15772995419042299</v>
          </cell>
          <cell r="J127">
            <v>3.1605312592690199E-2</v>
          </cell>
          <cell r="K127">
            <v>0</v>
          </cell>
          <cell r="L127">
            <v>0.40302540948488902</v>
          </cell>
          <cell r="M127">
            <v>1.28530468312296E-3</v>
          </cell>
          <cell r="N127">
            <v>0</v>
          </cell>
          <cell r="O127">
            <v>5</v>
          </cell>
          <cell r="P127">
            <v>0</v>
          </cell>
          <cell r="Q127">
            <v>0</v>
          </cell>
        </row>
        <row r="128">
          <cell r="A128" t="str">
            <v>Del_Shivji Prasad (1008638)</v>
          </cell>
          <cell r="B128" t="str">
            <v>08:11:40</v>
          </cell>
          <cell r="C128" t="str">
            <v>04:12:39</v>
          </cell>
          <cell r="D128">
            <v>85</v>
          </cell>
          <cell r="E128">
            <v>0.71045601537235803</v>
          </cell>
          <cell r="F128">
            <v>0.43796610169491501</v>
          </cell>
          <cell r="G128">
            <v>0.466440677966102</v>
          </cell>
          <cell r="H128">
            <v>6.5084745762711898E-3</v>
          </cell>
          <cell r="I128">
            <v>0.20183050847457601</v>
          </cell>
          <cell r="J128">
            <v>4.0915254237288097E-2</v>
          </cell>
          <cell r="K128">
            <v>0</v>
          </cell>
          <cell r="L128">
            <v>0.280271186440678</v>
          </cell>
          <cell r="M128">
            <v>4.0338983050847398E-3</v>
          </cell>
          <cell r="N128">
            <v>0</v>
          </cell>
          <cell r="O128">
            <v>6</v>
          </cell>
          <cell r="P128">
            <v>1</v>
          </cell>
          <cell r="Q128">
            <v>1</v>
          </cell>
        </row>
        <row r="129">
          <cell r="A129" t="str">
            <v>Del_Shubhanjali Joshi (1008639)</v>
          </cell>
          <cell r="B129" t="str">
            <v>08:17:17</v>
          </cell>
          <cell r="C129" t="str">
            <v>04:54:52</v>
          </cell>
          <cell r="D129">
            <v>86</v>
          </cell>
          <cell r="E129">
            <v>0.688887158321003</v>
          </cell>
          <cell r="F129">
            <v>0.55581995508931903</v>
          </cell>
          <cell r="G129">
            <v>0.55970774541676405</v>
          </cell>
          <cell r="H129">
            <v>6.03277809431243E-4</v>
          </cell>
          <cell r="I129">
            <v>0.24472969802594099</v>
          </cell>
          <cell r="J129">
            <v>3.26440325770017E-2</v>
          </cell>
          <cell r="K129">
            <v>0</v>
          </cell>
          <cell r="L129">
            <v>0.159935650366994</v>
          </cell>
          <cell r="M129">
            <v>2.3795958038676799E-3</v>
          </cell>
          <cell r="N129">
            <v>4</v>
          </cell>
          <cell r="O129">
            <v>4</v>
          </cell>
          <cell r="P129">
            <v>0</v>
          </cell>
          <cell r="Q129">
            <v>0</v>
          </cell>
        </row>
        <row r="130">
          <cell r="A130" t="str">
            <v>Del_Shyamal Malakar (1008640)</v>
          </cell>
          <cell r="B130" t="str">
            <v>08:15:36</v>
          </cell>
          <cell r="C130" t="str">
            <v>02:53:35</v>
          </cell>
          <cell r="D130">
            <v>87</v>
          </cell>
          <cell r="E130">
            <v>0.78143757503001199</v>
          </cell>
          <cell r="F130">
            <v>0.326035781544256</v>
          </cell>
          <cell r="G130">
            <v>0.34315308044121601</v>
          </cell>
          <cell r="H130">
            <v>1.0088781275222E-3</v>
          </cell>
          <cell r="I130">
            <v>8.7772397094431007E-2</v>
          </cell>
          <cell r="J130">
            <v>6.0868980360505804E-3</v>
          </cell>
          <cell r="K130">
            <v>0</v>
          </cell>
          <cell r="L130">
            <v>0.55612725316115097</v>
          </cell>
          <cell r="M130">
            <v>5.8514931396287297E-3</v>
          </cell>
          <cell r="N130">
            <v>0</v>
          </cell>
          <cell r="O130">
            <v>0</v>
          </cell>
          <cell r="P130">
            <v>0</v>
          </cell>
          <cell r="Q130">
            <v>0</v>
          </cell>
        </row>
        <row r="131">
          <cell r="A131" t="str">
            <v>Del_Sneh Khan (1008641)</v>
          </cell>
          <cell r="B131" t="str">
            <v>08:09:15</v>
          </cell>
          <cell r="C131" t="str">
            <v>05:06:25</v>
          </cell>
          <cell r="D131">
            <v>88</v>
          </cell>
          <cell r="E131">
            <v>0.73028798411122098</v>
          </cell>
          <cell r="F131">
            <v>0.57404190086867701</v>
          </cell>
          <cell r="G131">
            <v>0.58286492931357503</v>
          </cell>
          <cell r="H131">
            <v>3.4065746891500599E-5</v>
          </cell>
          <cell r="I131">
            <v>0.229024016351558</v>
          </cell>
          <cell r="J131">
            <v>4.3399761539771799E-2</v>
          </cell>
          <cell r="K131">
            <v>0</v>
          </cell>
          <cell r="L131">
            <v>0.142769545222279</v>
          </cell>
          <cell r="M131">
            <v>1.90768182592403E-3</v>
          </cell>
          <cell r="N131">
            <v>4</v>
          </cell>
          <cell r="O131">
            <v>4</v>
          </cell>
          <cell r="P131">
            <v>0</v>
          </cell>
          <cell r="Q131">
            <v>2</v>
          </cell>
        </row>
        <row r="132">
          <cell r="A132" t="str">
            <v>Del_Sonaram Munda (1008642)</v>
          </cell>
          <cell r="B132" t="str">
            <v>08:00:41</v>
          </cell>
          <cell r="C132" t="str">
            <v>04:11:10</v>
          </cell>
          <cell r="D132">
            <v>89</v>
          </cell>
          <cell r="E132">
            <v>0.69058748052424201</v>
          </cell>
          <cell r="F132">
            <v>0.45359037481363301</v>
          </cell>
          <cell r="G132">
            <v>0.48354772719392503</v>
          </cell>
          <cell r="H132">
            <v>8.2521410492007903E-3</v>
          </cell>
          <cell r="I132">
            <v>0.230227800700392</v>
          </cell>
          <cell r="J132">
            <v>3.0720155334419699E-2</v>
          </cell>
          <cell r="K132">
            <v>0</v>
          </cell>
          <cell r="L132">
            <v>0.24392358101314099</v>
          </cell>
          <cell r="M132">
            <v>3.3285947089213299E-3</v>
          </cell>
          <cell r="N132">
            <v>1</v>
          </cell>
          <cell r="O132">
            <v>6</v>
          </cell>
          <cell r="P132">
            <v>1</v>
          </cell>
          <cell r="Q132">
            <v>0</v>
          </cell>
        </row>
        <row r="133">
          <cell r="A133" t="str">
            <v>Del_Sudama Kumar (1008643)</v>
          </cell>
          <cell r="B133" t="str">
            <v>08:09:47</v>
          </cell>
          <cell r="C133" t="str">
            <v>02:38:49</v>
          </cell>
          <cell r="D133">
            <v>90</v>
          </cell>
          <cell r="E133">
            <v>0.73925523661753301</v>
          </cell>
          <cell r="F133">
            <v>0.29689998979140397</v>
          </cell>
          <cell r="G133">
            <v>0.30159594378466698</v>
          </cell>
          <cell r="H133">
            <v>0</v>
          </cell>
          <cell r="I133">
            <v>9.0992615782488906E-2</v>
          </cell>
          <cell r="J133">
            <v>2.2663082315309498E-2</v>
          </cell>
          <cell r="K133">
            <v>0</v>
          </cell>
          <cell r="L133">
            <v>0.56419505223398103</v>
          </cell>
          <cell r="M133">
            <v>2.0553305883554002E-2</v>
          </cell>
          <cell r="N133">
            <v>1</v>
          </cell>
          <cell r="O133">
            <v>4</v>
          </cell>
          <cell r="P133">
            <v>0</v>
          </cell>
          <cell r="Q133">
            <v>1</v>
          </cell>
        </row>
        <row r="134">
          <cell r="A134" t="str">
            <v>Del_Sudhir Kumar (1008644)</v>
          </cell>
          <cell r="B134" t="str">
            <v>08:00:18</v>
          </cell>
          <cell r="C134" t="str">
            <v>04:35:36</v>
          </cell>
          <cell r="D134">
            <v>91</v>
          </cell>
          <cell r="E134">
            <v>0.67504898758981102</v>
          </cell>
          <cell r="F134">
            <v>0.55729058227496697</v>
          </cell>
          <cell r="G134">
            <v>0.56128114372961302</v>
          </cell>
          <cell r="H134">
            <v>3.47005343882296E-5</v>
          </cell>
          <cell r="I134">
            <v>0.26844333402734399</v>
          </cell>
          <cell r="J134">
            <v>1.2492192379762601E-2</v>
          </cell>
          <cell r="K134">
            <v>0</v>
          </cell>
          <cell r="L134">
            <v>0.15490318550905699</v>
          </cell>
          <cell r="M134">
            <v>2.8454438198348198E-3</v>
          </cell>
          <cell r="N134">
            <v>1</v>
          </cell>
          <cell r="O134">
            <v>0</v>
          </cell>
          <cell r="P134">
            <v>0</v>
          </cell>
          <cell r="Q134">
            <v>0</v>
          </cell>
        </row>
        <row r="135">
          <cell r="A135" t="str">
            <v>Del_Sunil Kumar (1008645)</v>
          </cell>
          <cell r="B135" t="str">
            <v>08:03:26</v>
          </cell>
          <cell r="C135" t="str">
            <v>02:58:37</v>
          </cell>
          <cell r="D135">
            <v>92</v>
          </cell>
          <cell r="E135">
            <v>0.71513412518350505</v>
          </cell>
          <cell r="F135">
            <v>0.33279321519685601</v>
          </cell>
          <cell r="G135">
            <v>0.337688754050886</v>
          </cell>
          <cell r="H135">
            <v>3.1028063159346299E-4</v>
          </cell>
          <cell r="I135">
            <v>0.13476522098876101</v>
          </cell>
          <cell r="J135">
            <v>3.1476246293870198E-2</v>
          </cell>
          <cell r="K135">
            <v>0</v>
          </cell>
          <cell r="L135">
            <v>0.49013997104047402</v>
          </cell>
          <cell r="M135">
            <v>5.6195269944149502E-3</v>
          </cell>
          <cell r="N135">
            <v>0</v>
          </cell>
          <cell r="O135">
            <v>5</v>
          </cell>
          <cell r="P135">
            <v>0</v>
          </cell>
          <cell r="Q135">
            <v>0</v>
          </cell>
        </row>
        <row r="136">
          <cell r="A136" t="str">
            <v>Del_Sunil Kumar (1008646)</v>
          </cell>
          <cell r="B136" t="str">
            <v>08:05:06</v>
          </cell>
          <cell r="C136" t="str">
            <v>04:05:03</v>
          </cell>
          <cell r="D136">
            <v>93</v>
          </cell>
          <cell r="E136">
            <v>0.70305551570793301</v>
          </cell>
          <cell r="F136">
            <v>0.472308115165258</v>
          </cell>
          <cell r="G136">
            <v>0.48069126640555199</v>
          </cell>
          <cell r="H136">
            <v>5.5658627087198497E-3</v>
          </cell>
          <cell r="I136">
            <v>0.210712567855425</v>
          </cell>
          <cell r="J136">
            <v>1.8896447467875999E-2</v>
          </cell>
          <cell r="K136">
            <v>0</v>
          </cell>
          <cell r="L136">
            <v>0.28210678210678197</v>
          </cell>
          <cell r="M136">
            <v>2.0270734556448798E-3</v>
          </cell>
          <cell r="N136">
            <v>0</v>
          </cell>
          <cell r="O136">
            <v>2</v>
          </cell>
          <cell r="P136">
            <v>2</v>
          </cell>
          <cell r="Q136">
            <v>0</v>
          </cell>
        </row>
        <row r="137">
          <cell r="A137" t="str">
            <v>Del_Sunita Chawla (1008647)</v>
          </cell>
          <cell r="B137" t="str">
            <v>08:05:25</v>
          </cell>
          <cell r="C137" t="str">
            <v>04:31:57</v>
          </cell>
          <cell r="D137">
            <v>94</v>
          </cell>
          <cell r="E137">
            <v>0.75773195876288701</v>
          </cell>
          <cell r="F137">
            <v>0.51110729613733896</v>
          </cell>
          <cell r="G137">
            <v>0.51945064377682404</v>
          </cell>
          <cell r="H137">
            <v>1.9570815450643802E-3</v>
          </cell>
          <cell r="I137">
            <v>0.17438626609442101</v>
          </cell>
          <cell r="J137">
            <v>3.8832618025751102E-2</v>
          </cell>
          <cell r="K137">
            <v>0</v>
          </cell>
          <cell r="L137">
            <v>0.26104721030042899</v>
          </cell>
          <cell r="M137">
            <v>4.3261802575107304E-3</v>
          </cell>
          <cell r="N137">
            <v>1</v>
          </cell>
          <cell r="O137">
            <v>5</v>
          </cell>
          <cell r="P137">
            <v>0</v>
          </cell>
          <cell r="Q137">
            <v>0</v>
          </cell>
        </row>
        <row r="138">
          <cell r="A138" t="str">
            <v>Del_Sunita Madnani (1008648)</v>
          </cell>
          <cell r="B138" t="str">
            <v>08:14:02</v>
          </cell>
          <cell r="C138" t="str">
            <v>05:19:12</v>
          </cell>
          <cell r="D138">
            <v>95</v>
          </cell>
          <cell r="E138">
            <v>0.74879774797669796</v>
          </cell>
          <cell r="F138">
            <v>0.58886040078267299</v>
          </cell>
          <cell r="G138">
            <v>0.59867755212198903</v>
          </cell>
          <cell r="H138">
            <v>1.0120774576614299E-4</v>
          </cell>
          <cell r="I138">
            <v>0.20703731192227201</v>
          </cell>
          <cell r="J138">
            <v>4.7331489103299401E-2</v>
          </cell>
          <cell r="K138">
            <v>0</v>
          </cell>
          <cell r="L138">
            <v>0.13814857297078501</v>
          </cell>
          <cell r="M138">
            <v>8.7038661358882705E-3</v>
          </cell>
          <cell r="N138">
            <v>2</v>
          </cell>
          <cell r="O138">
            <v>5</v>
          </cell>
          <cell r="P138">
            <v>0</v>
          </cell>
          <cell r="Q138">
            <v>0</v>
          </cell>
        </row>
        <row r="139">
          <cell r="A139" t="str">
            <v>Del_Surendra Kumar (1008649)</v>
          </cell>
          <cell r="B139" t="str">
            <v>07:29:10</v>
          </cell>
          <cell r="C139" t="str">
            <v>02:54:25</v>
          </cell>
          <cell r="D139">
            <v>96</v>
          </cell>
          <cell r="E139">
            <v>0.78184534927157301</v>
          </cell>
          <cell r="F139">
            <v>0.34289424860853401</v>
          </cell>
          <cell r="G139">
            <v>0.345936920222634</v>
          </cell>
          <cell r="H139">
            <v>0</v>
          </cell>
          <cell r="I139">
            <v>0.103821892393321</v>
          </cell>
          <cell r="J139">
            <v>4.2374768089053799E-2</v>
          </cell>
          <cell r="K139">
            <v>0</v>
          </cell>
          <cell r="L139">
            <v>0.50508348794063096</v>
          </cell>
          <cell r="M139">
            <v>2.7829313543599201E-3</v>
          </cell>
          <cell r="N139">
            <v>0</v>
          </cell>
          <cell r="O139">
            <v>5</v>
          </cell>
          <cell r="P139">
            <v>0</v>
          </cell>
          <cell r="Q139">
            <v>0</v>
          </cell>
        </row>
        <row r="140">
          <cell r="A140" t="str">
            <v>Del_Surendranath Thakur (1008650)</v>
          </cell>
          <cell r="B140" t="str">
            <v>08:33:53</v>
          </cell>
          <cell r="C140" t="str">
            <v>04:36:50</v>
          </cell>
          <cell r="D140">
            <v>97</v>
          </cell>
          <cell r="E140">
            <v>0.730752309722833</v>
          </cell>
          <cell r="F140">
            <v>0.497486459313074</v>
          </cell>
          <cell r="G140">
            <v>0.50004864917458602</v>
          </cell>
          <cell r="H140">
            <v>2.5946226445691298E-4</v>
          </cell>
          <cell r="I140">
            <v>0.19063989880971699</v>
          </cell>
          <cell r="J140">
            <v>3.8400415139623098E-2</v>
          </cell>
          <cell r="K140">
            <v>0</v>
          </cell>
          <cell r="L140">
            <v>0.26675964064476398</v>
          </cell>
          <cell r="M140">
            <v>3.8919339668536902E-3</v>
          </cell>
          <cell r="N140">
            <v>0</v>
          </cell>
          <cell r="O140">
            <v>6</v>
          </cell>
          <cell r="P140">
            <v>0</v>
          </cell>
          <cell r="Q140">
            <v>1</v>
          </cell>
        </row>
        <row r="141">
          <cell r="A141" t="str">
            <v>Del_Sushma Khandelwal (1008651)</v>
          </cell>
          <cell r="B141" t="str">
            <v>08:15:15</v>
          </cell>
          <cell r="C141" t="str">
            <v>04:50:07</v>
          </cell>
          <cell r="D141">
            <v>98</v>
          </cell>
          <cell r="E141">
            <v>0.68252038895859501</v>
          </cell>
          <cell r="F141">
            <v>0.52431431936732298</v>
          </cell>
          <cell r="G141">
            <v>0.53575635201076899</v>
          </cell>
          <cell r="H141">
            <v>1.6153457849570899E-2</v>
          </cell>
          <cell r="I141">
            <v>0.26585899377418798</v>
          </cell>
          <cell r="J141">
            <v>3.3888608446912299E-2</v>
          </cell>
          <cell r="K141">
            <v>0</v>
          </cell>
          <cell r="L141">
            <v>0.142049469964664</v>
          </cell>
          <cell r="M141">
            <v>6.2931179538953403E-3</v>
          </cell>
          <cell r="N141">
            <v>2</v>
          </cell>
          <cell r="O141">
            <v>3</v>
          </cell>
          <cell r="P141">
            <v>1</v>
          </cell>
          <cell r="Q141">
            <v>0</v>
          </cell>
        </row>
        <row r="142">
          <cell r="A142" t="str">
            <v>Del_Swarnlata Borse (1008652)</v>
          </cell>
          <cell r="B142" t="str">
            <v>08:19:05</v>
          </cell>
          <cell r="C142" t="str">
            <v>02:59:39</v>
          </cell>
          <cell r="D142">
            <v>99</v>
          </cell>
          <cell r="E142">
            <v>0.79292334853611901</v>
          </cell>
          <cell r="F142">
            <v>0.31066956086157999</v>
          </cell>
          <cell r="G142">
            <v>0.32963766905994302</v>
          </cell>
          <cell r="H142">
            <v>1.1521122057104699E-2</v>
          </cell>
          <cell r="I142">
            <v>9.1534479879779598E-2</v>
          </cell>
          <cell r="J142">
            <v>1.8801135414927402E-2</v>
          </cell>
          <cell r="K142">
            <v>0</v>
          </cell>
          <cell r="L142">
            <v>0.54623476373351099</v>
          </cell>
          <cell r="M142">
            <v>2.2708298547336799E-3</v>
          </cell>
          <cell r="N142">
            <v>0</v>
          </cell>
          <cell r="O142">
            <v>2</v>
          </cell>
          <cell r="P142">
            <v>2</v>
          </cell>
          <cell r="Q142">
            <v>0</v>
          </cell>
        </row>
        <row r="143">
          <cell r="A143" t="str">
            <v>Del_Syed Naved (1008653)</v>
          </cell>
          <cell r="B143" t="str">
            <v>08:13:39</v>
          </cell>
          <cell r="C143" t="str">
            <v>05:24:05</v>
          </cell>
          <cell r="D143">
            <v>100</v>
          </cell>
          <cell r="E143">
            <v>0.75476458486977405</v>
          </cell>
          <cell r="F143">
            <v>0.58462473412336702</v>
          </cell>
          <cell r="G143">
            <v>0.59569870691110405</v>
          </cell>
          <cell r="H143">
            <v>6.7524224315473205E-5</v>
          </cell>
          <cell r="I143">
            <v>0.17384111550018599</v>
          </cell>
          <cell r="J143">
            <v>5.8475978257199801E-2</v>
          </cell>
          <cell r="K143">
            <v>0</v>
          </cell>
          <cell r="L143">
            <v>0.15138931091529101</v>
          </cell>
          <cell r="M143">
            <v>2.0527364191903801E-2</v>
          </cell>
          <cell r="N143">
            <v>2</v>
          </cell>
          <cell r="O143">
            <v>10</v>
          </cell>
          <cell r="P143">
            <v>0</v>
          </cell>
          <cell r="Q143">
            <v>1</v>
          </cell>
        </row>
        <row r="144">
          <cell r="A144" t="str">
            <v>Del_Syed Saqib (1008654)</v>
          </cell>
          <cell r="B144" t="str">
            <v>08:24:48</v>
          </cell>
          <cell r="C144" t="str">
            <v>02:52:08</v>
          </cell>
          <cell r="D144">
            <v>101</v>
          </cell>
          <cell r="E144">
            <v>0.85263766201601598</v>
          </cell>
          <cell r="F144">
            <v>0.31685816164817698</v>
          </cell>
          <cell r="G144">
            <v>0.323230322239831</v>
          </cell>
          <cell r="H144">
            <v>8.2540940306391995E-3</v>
          </cell>
          <cell r="I144">
            <v>5.1406497622820901E-2</v>
          </cell>
          <cell r="J144">
            <v>9.5087163232963502E-3</v>
          </cell>
          <cell r="K144">
            <v>0</v>
          </cell>
          <cell r="L144">
            <v>0.60136027469624898</v>
          </cell>
          <cell r="M144">
            <v>6.2400950871632299E-3</v>
          </cell>
          <cell r="N144">
            <v>3</v>
          </cell>
          <cell r="O144">
            <v>1</v>
          </cell>
          <cell r="P144">
            <v>2</v>
          </cell>
          <cell r="Q144">
            <v>0</v>
          </cell>
        </row>
        <row r="145">
          <cell r="A145" t="str">
            <v>Del_Syed Sohail (1008655)</v>
          </cell>
          <cell r="B145" t="str">
            <v>08:17:53</v>
          </cell>
          <cell r="C145" t="str">
            <v>04:51:52</v>
          </cell>
          <cell r="D145">
            <v>102</v>
          </cell>
          <cell r="E145">
            <v>0.68513302034428802</v>
          </cell>
          <cell r="F145">
            <v>0.56375322197301903</v>
          </cell>
          <cell r="G145">
            <v>0.565795199678639</v>
          </cell>
          <cell r="H145">
            <v>0</v>
          </cell>
          <cell r="I145">
            <v>0.26462022562179899</v>
          </cell>
          <cell r="J145">
            <v>2.04197770562046E-2</v>
          </cell>
          <cell r="K145">
            <v>0</v>
          </cell>
          <cell r="L145">
            <v>0.14474609178857201</v>
          </cell>
          <cell r="M145">
            <v>4.4187058547852601E-3</v>
          </cell>
          <cell r="N145">
            <v>0</v>
          </cell>
          <cell r="O145">
            <v>1</v>
          </cell>
          <cell r="P145">
            <v>0</v>
          </cell>
          <cell r="Q145">
            <v>0</v>
          </cell>
        </row>
        <row r="146">
          <cell r="A146" t="str">
            <v>Del_System Operator (1008656)</v>
          </cell>
          <cell r="B146" t="str">
            <v>08:30:54</v>
          </cell>
          <cell r="C146" t="str">
            <v>05:15:36</v>
          </cell>
          <cell r="D146">
            <v>103</v>
          </cell>
          <cell r="E146">
            <v>0.69218116021493603</v>
          </cell>
          <cell r="F146">
            <v>0.54779147908918902</v>
          </cell>
          <cell r="G146">
            <v>0.55575128857571598</v>
          </cell>
          <cell r="H146">
            <v>3.26221700267502E-5</v>
          </cell>
          <cell r="I146">
            <v>0.26867619234031398</v>
          </cell>
          <cell r="J146">
            <v>6.1949500880798598E-2</v>
          </cell>
          <cell r="K146">
            <v>0</v>
          </cell>
          <cell r="L146">
            <v>0.109773602140014</v>
          </cell>
          <cell r="M146">
            <v>3.81679389312977E-3</v>
          </cell>
          <cell r="N146">
            <v>0</v>
          </cell>
          <cell r="O146">
            <v>7</v>
          </cell>
          <cell r="P146">
            <v>0</v>
          </cell>
          <cell r="Q146">
            <v>0</v>
          </cell>
        </row>
        <row r="147">
          <cell r="A147" t="str">
            <v>Del_Tahira Qureshi (1008657)</v>
          </cell>
          <cell r="B147" t="str">
            <v>08:46:13</v>
          </cell>
          <cell r="C147" t="str">
            <v>03:36:51</v>
          </cell>
          <cell r="D147">
            <v>104</v>
          </cell>
          <cell r="E147">
            <v>0.75764281138997303</v>
          </cell>
          <cell r="F147">
            <v>0.37965983593576802</v>
          </cell>
          <cell r="G147">
            <v>0.38415734963418102</v>
          </cell>
          <cell r="H147">
            <v>6.3345263357932397E-5</v>
          </cell>
          <cell r="I147">
            <v>0.124948531973522</v>
          </cell>
          <cell r="J147">
            <v>2.78719158774903E-2</v>
          </cell>
          <cell r="K147">
            <v>0</v>
          </cell>
          <cell r="L147">
            <v>0.46083679092895802</v>
          </cell>
          <cell r="M147">
            <v>2.12206632249074E-3</v>
          </cell>
          <cell r="N147">
            <v>2</v>
          </cell>
          <cell r="O147">
            <v>5</v>
          </cell>
          <cell r="P147">
            <v>0</v>
          </cell>
          <cell r="Q147">
            <v>0</v>
          </cell>
        </row>
        <row r="148">
          <cell r="A148" t="str">
            <v>Del_Tapas Chakraborty (1008658)</v>
          </cell>
          <cell r="B148" t="str">
            <v>08:14:56</v>
          </cell>
          <cell r="C148" t="str">
            <v>05:15:14</v>
          </cell>
          <cell r="D148">
            <v>105</v>
          </cell>
          <cell r="E148">
            <v>0.74111516006426104</v>
          </cell>
          <cell r="F148">
            <v>0.56529498922413801</v>
          </cell>
          <cell r="G148">
            <v>0.57401670258620696</v>
          </cell>
          <cell r="H148">
            <v>1.4816810344827601E-3</v>
          </cell>
          <cell r="I148">
            <v>0.21046605603448301</v>
          </cell>
          <cell r="J148">
            <v>6.1422413793103398E-2</v>
          </cell>
          <cell r="K148">
            <v>0</v>
          </cell>
          <cell r="L148">
            <v>0.145844558189655</v>
          </cell>
          <cell r="M148">
            <v>6.7685883620689702E-3</v>
          </cell>
          <cell r="N148">
            <v>0</v>
          </cell>
          <cell r="O148">
            <v>12</v>
          </cell>
          <cell r="P148">
            <v>1</v>
          </cell>
          <cell r="Q148">
            <v>0</v>
          </cell>
        </row>
        <row r="149">
          <cell r="A149" t="str">
            <v>Del_Tariq Akhlaq (1008659)</v>
          </cell>
          <cell r="B149" t="str">
            <v>04:59:55</v>
          </cell>
          <cell r="C149" t="str">
            <v>03:08:41</v>
          </cell>
          <cell r="D149">
            <v>106</v>
          </cell>
          <cell r="E149">
            <v>0.66200806970352599</v>
          </cell>
          <cell r="F149">
            <v>0.60261183662128404</v>
          </cell>
          <cell r="G149">
            <v>0.60955821061405902</v>
          </cell>
          <cell r="H149">
            <v>2.22283967768825E-4</v>
          </cell>
          <cell r="I149">
            <v>0.303417616004446</v>
          </cell>
          <cell r="J149">
            <v>1.8560711308696898E-2</v>
          </cell>
          <cell r="K149">
            <v>0</v>
          </cell>
          <cell r="L149">
            <v>5.0180605723812201E-2</v>
          </cell>
          <cell r="M149">
            <v>1.8060572381216999E-2</v>
          </cell>
          <cell r="N149">
            <v>0</v>
          </cell>
          <cell r="O149">
            <v>1</v>
          </cell>
          <cell r="P149">
            <v>0</v>
          </cell>
          <cell r="Q149">
            <v>4</v>
          </cell>
        </row>
        <row r="150">
          <cell r="A150" t="str">
            <v>Del_Tasneem Khan (1008660)</v>
          </cell>
          <cell r="B150" t="str">
            <v>08:33:55</v>
          </cell>
          <cell r="C150" t="str">
            <v>04:38:49</v>
          </cell>
          <cell r="D150">
            <v>107</v>
          </cell>
          <cell r="E150">
            <v>0.73796815033746499</v>
          </cell>
          <cell r="F150">
            <v>0.49813523593319298</v>
          </cell>
          <cell r="G150">
            <v>0.50796173179828097</v>
          </cell>
          <cell r="H150">
            <v>2.4647316361277802E-3</v>
          </cell>
          <cell r="I150">
            <v>0.183946813685747</v>
          </cell>
          <cell r="J150">
            <v>3.2106372628506602E-2</v>
          </cell>
          <cell r="K150">
            <v>0</v>
          </cell>
          <cell r="L150">
            <v>0.26628830874006798</v>
          </cell>
          <cell r="M150">
            <v>7.2320415112696601E-3</v>
          </cell>
          <cell r="N150">
            <v>4</v>
          </cell>
          <cell r="O150">
            <v>5</v>
          </cell>
          <cell r="P150">
            <v>0</v>
          </cell>
          <cell r="Q150">
            <v>0</v>
          </cell>
        </row>
      </sheetData>
      <sheetData sheetId="2">
        <row r="1">
          <cell r="A1" t="str">
            <v>Employee</v>
          </cell>
          <cell r="B1" t="str">
            <v>Attended Calls</v>
          </cell>
          <cell r="C1" t="str">
            <v>Transferred calls</v>
          </cell>
          <cell r="D1" t="str">
            <v>Call Conferenced</v>
          </cell>
          <cell r="E1" t="str">
            <v>Call Redirected</v>
          </cell>
          <cell r="F1" t="str">
            <v>Hold Calls</v>
          </cell>
          <cell r="G1" t="str">
            <v>% of Calls onHold</v>
          </cell>
          <cell r="H1" t="str">
            <v>Average Duration of Calls</v>
          </cell>
          <cell r="I1" t="str">
            <v>Avg. In Focus Hold Calls</v>
          </cell>
          <cell r="J1" t="str">
            <v>Calls Unattend Time'</v>
          </cell>
        </row>
        <row r="2">
          <cell r="A2" t="str">
            <v>Mum_Abdul Hamid (1008512)</v>
          </cell>
          <cell r="B2">
            <v>98</v>
          </cell>
          <cell r="C2">
            <v>0</v>
          </cell>
          <cell r="D2">
            <v>0</v>
          </cell>
          <cell r="E2">
            <v>0</v>
          </cell>
          <cell r="F2">
            <v>0.10294117647058799</v>
          </cell>
          <cell r="G2">
            <v>0</v>
          </cell>
          <cell r="H2" t="str">
            <v>00:04:13</v>
          </cell>
          <cell r="I2" t="str">
            <v>00:00:01</v>
          </cell>
          <cell r="J2" t="str">
            <v>00:00:09</v>
          </cell>
        </row>
        <row r="3">
          <cell r="A3" t="str">
            <v>Mum_Afzal Husain (1008513)</v>
          </cell>
          <cell r="B3">
            <v>23</v>
          </cell>
          <cell r="C3">
            <v>0</v>
          </cell>
          <cell r="D3">
            <v>0</v>
          </cell>
          <cell r="E3">
            <v>0</v>
          </cell>
          <cell r="F3">
            <v>0.10294117647058799</v>
          </cell>
          <cell r="G3">
            <v>0</v>
          </cell>
          <cell r="H3" t="str">
            <v>00:04:13</v>
          </cell>
          <cell r="I3" t="str">
            <v>00:00:01</v>
          </cell>
          <cell r="J3" t="str">
            <v>00:00:09</v>
          </cell>
        </row>
        <row r="4">
          <cell r="A4" t="str">
            <v>Mum_Anamika Gupta (1008514)</v>
          </cell>
          <cell r="B4">
            <v>28</v>
          </cell>
          <cell r="C4">
            <v>1.4705882352941201E-2</v>
          </cell>
          <cell r="D4">
            <v>0</v>
          </cell>
          <cell r="E4">
            <v>0</v>
          </cell>
          <cell r="F4">
            <v>7.3529411764705899E-2</v>
          </cell>
          <cell r="G4">
            <v>0</v>
          </cell>
          <cell r="H4" t="str">
            <v>00:04:10</v>
          </cell>
          <cell r="I4" t="str">
            <v>00:00:00</v>
          </cell>
          <cell r="J4" t="str">
            <v>00:00:07</v>
          </cell>
        </row>
        <row r="5">
          <cell r="A5" t="str">
            <v>Mum_Anikuttan (1008515)</v>
          </cell>
          <cell r="B5">
            <v>29</v>
          </cell>
          <cell r="C5">
            <v>1.4705882352941201E-2</v>
          </cell>
          <cell r="D5">
            <v>0</v>
          </cell>
          <cell r="E5">
            <v>0</v>
          </cell>
          <cell r="F5">
            <v>7.3529411764705899E-2</v>
          </cell>
          <cell r="G5">
            <v>0</v>
          </cell>
          <cell r="H5" t="str">
            <v>00:04:10</v>
          </cell>
          <cell r="I5" t="str">
            <v>00:00:00</v>
          </cell>
          <cell r="J5" t="str">
            <v>00:00:07</v>
          </cell>
        </row>
        <row r="6">
          <cell r="A6" t="str">
            <v>Mum_Anil Kumar (1008516)</v>
          </cell>
          <cell r="B6">
            <v>93</v>
          </cell>
          <cell r="C6">
            <v>8.3333333333333301E-2</v>
          </cell>
          <cell r="D6">
            <v>0</v>
          </cell>
          <cell r="E6">
            <v>0</v>
          </cell>
          <cell r="F6">
            <v>0.16666666666666699</v>
          </cell>
          <cell r="G6">
            <v>0.1</v>
          </cell>
          <cell r="H6" t="str">
            <v>00:04:25</v>
          </cell>
          <cell r="I6" t="str">
            <v>00:00:59</v>
          </cell>
          <cell r="J6" t="str">
            <v>00:00:11</v>
          </cell>
        </row>
        <row r="7">
          <cell r="A7" t="str">
            <v>Mum_Anita Dixit (1008517)</v>
          </cell>
          <cell r="B7">
            <v>92</v>
          </cell>
          <cell r="C7">
            <v>8.3333333333333301E-2</v>
          </cell>
          <cell r="D7">
            <v>0</v>
          </cell>
          <cell r="E7">
            <v>0</v>
          </cell>
          <cell r="F7">
            <v>0.16666666666666699</v>
          </cell>
          <cell r="G7">
            <v>0.1</v>
          </cell>
          <cell r="H7" t="str">
            <v>00:04:25</v>
          </cell>
          <cell r="I7" t="str">
            <v>00:00:59</v>
          </cell>
          <cell r="J7" t="str">
            <v>00:00:11</v>
          </cell>
        </row>
        <row r="8">
          <cell r="A8" t="str">
            <v>Mum_Anita Ghore (1008518)</v>
          </cell>
          <cell r="B8">
            <v>26</v>
          </cell>
          <cell r="C8">
            <v>5.4545454545454501E-2</v>
          </cell>
          <cell r="D8">
            <v>0</v>
          </cell>
          <cell r="E8">
            <v>1.7857142857142901E-2</v>
          </cell>
          <cell r="F8">
            <v>0.109090909090909</v>
          </cell>
          <cell r="G8">
            <v>0</v>
          </cell>
          <cell r="H8" t="str">
            <v>00:04:26</v>
          </cell>
          <cell r="I8" t="str">
            <v>00:00:00</v>
          </cell>
          <cell r="J8" t="str">
            <v>00:00:14</v>
          </cell>
        </row>
        <row r="9">
          <cell r="A9" t="str">
            <v>Mum_Anjali Deoram (1008519)</v>
          </cell>
          <cell r="B9">
            <v>90</v>
          </cell>
          <cell r="C9">
            <v>5.4545454545454501E-2</v>
          </cell>
          <cell r="D9">
            <v>0</v>
          </cell>
          <cell r="E9">
            <v>1.7857142857142901E-2</v>
          </cell>
          <cell r="F9">
            <v>0.109090909090909</v>
          </cell>
          <cell r="G9">
            <v>0</v>
          </cell>
          <cell r="H9" t="str">
            <v>00:04:26</v>
          </cell>
          <cell r="I9" t="str">
            <v>00:00:00</v>
          </cell>
          <cell r="J9" t="str">
            <v>00:00:14</v>
          </cell>
        </row>
        <row r="10">
          <cell r="A10" t="str">
            <v>Mum_Anjali Sahay (1008520)</v>
          </cell>
          <cell r="B10">
            <v>89</v>
          </cell>
          <cell r="C10">
            <v>0</v>
          </cell>
          <cell r="D10">
            <v>0</v>
          </cell>
          <cell r="E10">
            <v>0</v>
          </cell>
          <cell r="F10">
            <v>6.8181818181818205E-2</v>
          </cell>
          <cell r="G10">
            <v>0</v>
          </cell>
          <cell r="H10" t="str">
            <v>00:03:26</v>
          </cell>
          <cell r="I10" t="str">
            <v>00:00:03</v>
          </cell>
          <cell r="J10" t="str">
            <v>00:00:10</v>
          </cell>
        </row>
        <row r="11">
          <cell r="A11" t="str">
            <v>Mum_Annu Latika (1008521)</v>
          </cell>
          <cell r="B11">
            <v>54</v>
          </cell>
          <cell r="C11">
            <v>0</v>
          </cell>
          <cell r="D11">
            <v>0</v>
          </cell>
          <cell r="E11">
            <v>0</v>
          </cell>
          <cell r="F11">
            <v>6.8181818181818205E-2</v>
          </cell>
          <cell r="G11">
            <v>0</v>
          </cell>
          <cell r="H11" t="str">
            <v>00:03:26</v>
          </cell>
          <cell r="I11" t="str">
            <v>00:00:03</v>
          </cell>
          <cell r="J11" t="str">
            <v>00:00:10</v>
          </cell>
        </row>
        <row r="12">
          <cell r="A12" t="str">
            <v>Mum_Anoop Narayan (1008522)</v>
          </cell>
          <cell r="B12">
            <v>87</v>
          </cell>
          <cell r="C12">
            <v>0</v>
          </cell>
          <cell r="D12">
            <v>0</v>
          </cell>
          <cell r="E12">
            <v>0</v>
          </cell>
          <cell r="F12">
            <v>6.5217391304347797E-2</v>
          </cell>
          <cell r="G12">
            <v>0</v>
          </cell>
          <cell r="H12" t="str">
            <v>00:03:54</v>
          </cell>
          <cell r="I12" t="str">
            <v>00:00:51</v>
          </cell>
          <cell r="J12" t="str">
            <v>00:00:27</v>
          </cell>
        </row>
        <row r="13">
          <cell r="A13" t="str">
            <v>Mum_Anoop Raj (1008523)</v>
          </cell>
          <cell r="B13">
            <v>65</v>
          </cell>
          <cell r="C13">
            <v>0</v>
          </cell>
          <cell r="D13">
            <v>0</v>
          </cell>
          <cell r="E13">
            <v>0</v>
          </cell>
          <cell r="F13">
            <v>6.5217391304347797E-2</v>
          </cell>
          <cell r="G13">
            <v>0</v>
          </cell>
          <cell r="H13" t="str">
            <v>00:03:54</v>
          </cell>
          <cell r="I13" t="str">
            <v>00:00:51</v>
          </cell>
          <cell r="J13" t="str">
            <v>00:00:27</v>
          </cell>
        </row>
        <row r="14">
          <cell r="A14" t="str">
            <v>Mum_Anubhuti Gupta (1008524)</v>
          </cell>
          <cell r="B14">
            <v>85</v>
          </cell>
          <cell r="C14">
            <v>0</v>
          </cell>
          <cell r="D14">
            <v>0</v>
          </cell>
          <cell r="E14">
            <v>0</v>
          </cell>
          <cell r="F14">
            <v>7.69230769230769E-2</v>
          </cell>
          <cell r="G14">
            <v>0</v>
          </cell>
          <cell r="H14" t="str">
            <v>00:04:07</v>
          </cell>
          <cell r="I14" t="str">
            <v>00:00:00</v>
          </cell>
          <cell r="J14" t="str">
            <v>00:00:04</v>
          </cell>
        </row>
        <row r="15">
          <cell r="A15" t="str">
            <v>Mum_Arun Kumar (1008525)</v>
          </cell>
          <cell r="B15">
            <v>65</v>
          </cell>
          <cell r="C15">
            <v>0</v>
          </cell>
          <cell r="D15">
            <v>0</v>
          </cell>
          <cell r="E15">
            <v>0</v>
          </cell>
          <cell r="F15">
            <v>7.69230769230769E-2</v>
          </cell>
          <cell r="G15">
            <v>0</v>
          </cell>
          <cell r="H15" t="str">
            <v>00:04:07</v>
          </cell>
          <cell r="I15" t="str">
            <v>00:00:00</v>
          </cell>
          <cell r="J15" t="str">
            <v>00:00:04</v>
          </cell>
        </row>
        <row r="16">
          <cell r="A16" t="str">
            <v>Mum_Ashish Kumar (1008526)</v>
          </cell>
          <cell r="B16">
            <v>83</v>
          </cell>
          <cell r="C16">
            <v>9.6385542168674704E-2</v>
          </cell>
          <cell r="D16">
            <v>0</v>
          </cell>
          <cell r="E16">
            <v>1.1904761904761901E-2</v>
          </cell>
          <cell r="F16">
            <v>0.132530120481928</v>
          </cell>
          <cell r="G16">
            <v>9.0909090909090898E-2</v>
          </cell>
          <cell r="H16" t="str">
            <v>00:03:54</v>
          </cell>
          <cell r="I16" t="str">
            <v>00:00:26</v>
          </cell>
          <cell r="J16" t="str">
            <v>00:00:16</v>
          </cell>
        </row>
        <row r="17">
          <cell r="A17" t="str">
            <v>Mum_Ashok Kumar (1008527)</v>
          </cell>
          <cell r="B17">
            <v>82</v>
          </cell>
          <cell r="C17">
            <v>9.6385542168674704E-2</v>
          </cell>
          <cell r="D17">
            <v>0</v>
          </cell>
          <cell r="E17">
            <v>1.1904761904761901E-2</v>
          </cell>
          <cell r="F17">
            <v>0.132530120481928</v>
          </cell>
          <cell r="G17">
            <v>9.0909090909090898E-2</v>
          </cell>
          <cell r="H17" t="str">
            <v>00:03:54</v>
          </cell>
          <cell r="I17" t="str">
            <v>00:00:26</v>
          </cell>
          <cell r="J17" t="str">
            <v>00:00:16</v>
          </cell>
        </row>
        <row r="18">
          <cell r="A18" t="str">
            <v>Hyd_Ashok Kumar (1008528)</v>
          </cell>
          <cell r="B18">
            <v>81</v>
          </cell>
          <cell r="C18">
            <v>3.03030303030303E-2</v>
          </cell>
          <cell r="D18">
            <v>0</v>
          </cell>
          <cell r="E18">
            <v>2.8571428571428598E-2</v>
          </cell>
          <cell r="F18">
            <v>7.5757575757575801E-2</v>
          </cell>
          <cell r="G18">
            <v>0</v>
          </cell>
          <cell r="H18" t="str">
            <v>00:04:18</v>
          </cell>
          <cell r="I18" t="str">
            <v>00:00:04</v>
          </cell>
          <cell r="J18" t="str">
            <v>00:00:07</v>
          </cell>
        </row>
        <row r="19">
          <cell r="A19" t="str">
            <v>Hyd_Ashok Kumar (1008529)</v>
          </cell>
          <cell r="B19">
            <v>80</v>
          </cell>
          <cell r="C19">
            <v>3.03030303030303E-2</v>
          </cell>
          <cell r="D19">
            <v>0</v>
          </cell>
          <cell r="E19">
            <v>2.8571428571428598E-2</v>
          </cell>
          <cell r="F19">
            <v>7.5757575757575801E-2</v>
          </cell>
          <cell r="G19">
            <v>0</v>
          </cell>
          <cell r="H19" t="str">
            <v>00:04:18</v>
          </cell>
          <cell r="I19" t="str">
            <v>00:00:04</v>
          </cell>
          <cell r="J19" t="str">
            <v>00:00:07</v>
          </cell>
        </row>
        <row r="20">
          <cell r="A20" t="str">
            <v>Hyd_Ashok Kumar (1008530)</v>
          </cell>
          <cell r="B20">
            <v>79</v>
          </cell>
          <cell r="C20">
            <v>5.9701492537313397E-2</v>
          </cell>
          <cell r="D20">
            <v>0</v>
          </cell>
          <cell r="E20">
            <v>0</v>
          </cell>
          <cell r="F20">
            <v>0.104477611940299</v>
          </cell>
          <cell r="G20">
            <v>0</v>
          </cell>
          <cell r="H20" t="str">
            <v>00:04:22</v>
          </cell>
          <cell r="I20" t="str">
            <v>00:00:01</v>
          </cell>
          <cell r="J20" t="str">
            <v>00:00:04</v>
          </cell>
        </row>
        <row r="21">
          <cell r="A21" t="str">
            <v>Hyd_Ashok Mahto (1008531)</v>
          </cell>
          <cell r="B21">
            <v>78</v>
          </cell>
          <cell r="C21">
            <v>5.9701492537313397E-2</v>
          </cell>
          <cell r="D21">
            <v>0</v>
          </cell>
          <cell r="E21">
            <v>0</v>
          </cell>
          <cell r="F21">
            <v>0.104477611940299</v>
          </cell>
          <cell r="G21">
            <v>0</v>
          </cell>
          <cell r="H21" t="str">
            <v>00:04:22</v>
          </cell>
          <cell r="I21" t="str">
            <v>00:00:01</v>
          </cell>
          <cell r="J21" t="str">
            <v>00:00:04</v>
          </cell>
        </row>
        <row r="22">
          <cell r="A22" t="str">
            <v>Hyd_Atul Kumar (1008532)</v>
          </cell>
          <cell r="B22">
            <v>77</v>
          </cell>
          <cell r="C22">
            <v>2.9850746268656699E-2</v>
          </cell>
          <cell r="D22">
            <v>0</v>
          </cell>
          <cell r="E22">
            <v>0</v>
          </cell>
          <cell r="F22">
            <v>0.119402985074627</v>
          </cell>
          <cell r="G22">
            <v>0</v>
          </cell>
          <cell r="H22" t="str">
            <v>00:04:04</v>
          </cell>
          <cell r="I22" t="str">
            <v>00:00:39</v>
          </cell>
          <cell r="J22" t="str">
            <v>00:00:09</v>
          </cell>
        </row>
        <row r="23">
          <cell r="A23" t="str">
            <v>Hyd_Azam (1008533)</v>
          </cell>
          <cell r="B23">
            <v>76</v>
          </cell>
          <cell r="C23">
            <v>2.9850746268656699E-2</v>
          </cell>
          <cell r="D23">
            <v>0</v>
          </cell>
          <cell r="E23">
            <v>0</v>
          </cell>
          <cell r="F23">
            <v>0.119402985074627</v>
          </cell>
          <cell r="G23">
            <v>0</v>
          </cell>
          <cell r="H23" t="str">
            <v>00:04:04</v>
          </cell>
          <cell r="I23" t="str">
            <v>00:00:39</v>
          </cell>
          <cell r="J23" t="str">
            <v>00:00:09</v>
          </cell>
        </row>
        <row r="24">
          <cell r="A24" t="str">
            <v>Hyd_Bhagwat Singh (1008534)</v>
          </cell>
          <cell r="B24">
            <v>75</v>
          </cell>
          <cell r="C24">
            <v>7.2727272727272696E-2</v>
          </cell>
          <cell r="D24">
            <v>0</v>
          </cell>
          <cell r="E24">
            <v>1.7543859649122799E-2</v>
          </cell>
          <cell r="F24">
            <v>7.2727272727272696E-2</v>
          </cell>
          <cell r="G24">
            <v>0</v>
          </cell>
          <cell r="H24" t="str">
            <v>00:03:45</v>
          </cell>
          <cell r="I24" t="str">
            <v>00:00:00</v>
          </cell>
          <cell r="J24" t="str">
            <v>00:00:23</v>
          </cell>
        </row>
        <row r="25">
          <cell r="A25" t="str">
            <v>Hyd_Bindu Nair (1008535)</v>
          </cell>
          <cell r="B25">
            <v>74</v>
          </cell>
          <cell r="C25">
            <v>7.2727272727272696E-2</v>
          </cell>
          <cell r="D25">
            <v>0</v>
          </cell>
          <cell r="E25">
            <v>1.7543859649122799E-2</v>
          </cell>
          <cell r="F25">
            <v>7.2727272727272696E-2</v>
          </cell>
          <cell r="G25">
            <v>0</v>
          </cell>
          <cell r="H25" t="str">
            <v>00:03:45</v>
          </cell>
          <cell r="I25" t="str">
            <v>00:00:00</v>
          </cell>
          <cell r="J25" t="str">
            <v>00:00:23</v>
          </cell>
        </row>
        <row r="26">
          <cell r="A26" t="str">
            <v>Hyd_Daleep Singh (1008536)</v>
          </cell>
          <cell r="B26">
            <v>73</v>
          </cell>
          <cell r="C26">
            <v>9.0909090909090898E-2</v>
          </cell>
          <cell r="D26">
            <v>0</v>
          </cell>
          <cell r="E26">
            <v>0</v>
          </cell>
          <cell r="F26">
            <v>0.10606060606060599</v>
          </cell>
          <cell r="G26">
            <v>0</v>
          </cell>
          <cell r="H26" t="str">
            <v>00:03:45</v>
          </cell>
          <cell r="I26" t="str">
            <v>00:00:01</v>
          </cell>
          <cell r="J26" t="str">
            <v>00:00:25</v>
          </cell>
        </row>
        <row r="27">
          <cell r="A27" t="str">
            <v>Hyd_Deepak Kumar (1008537)</v>
          </cell>
          <cell r="B27">
            <v>72</v>
          </cell>
          <cell r="C27">
            <v>9.0909090909090898E-2</v>
          </cell>
          <cell r="D27">
            <v>0</v>
          </cell>
          <cell r="E27">
            <v>0</v>
          </cell>
          <cell r="F27">
            <v>0.10606060606060599</v>
          </cell>
          <cell r="G27">
            <v>0</v>
          </cell>
          <cell r="H27" t="str">
            <v>00:03:45</v>
          </cell>
          <cell r="I27" t="str">
            <v>00:00:01</v>
          </cell>
          <cell r="J27" t="str">
            <v>00:00:25</v>
          </cell>
        </row>
        <row r="28">
          <cell r="A28" t="str">
            <v>Hyd_Deepika Nigam (1008538)</v>
          </cell>
          <cell r="B28">
            <v>71</v>
          </cell>
          <cell r="C28">
            <v>8.0645161290322606E-2</v>
          </cell>
          <cell r="D28">
            <v>0</v>
          </cell>
          <cell r="E28">
            <v>0</v>
          </cell>
          <cell r="F28">
            <v>0.14516129032258099</v>
          </cell>
          <cell r="G28">
            <v>0.11111111111111099</v>
          </cell>
          <cell r="H28" t="str">
            <v>00:04:07</v>
          </cell>
          <cell r="I28" t="str">
            <v>00:00:28</v>
          </cell>
          <cell r="J28" t="str">
            <v>00:00:20</v>
          </cell>
        </row>
        <row r="29">
          <cell r="A29" t="str">
            <v>Hyd_Dinesh Kumar (1008539)</v>
          </cell>
          <cell r="B29">
            <v>70</v>
          </cell>
          <cell r="C29">
            <v>8.0645161290322606E-2</v>
          </cell>
          <cell r="D29">
            <v>0</v>
          </cell>
          <cell r="E29">
            <v>0</v>
          </cell>
          <cell r="F29">
            <v>0.14516129032258099</v>
          </cell>
          <cell r="G29">
            <v>0.11111111111111099</v>
          </cell>
          <cell r="H29" t="str">
            <v>00:04:07</v>
          </cell>
          <cell r="I29" t="str">
            <v>00:00:28</v>
          </cell>
          <cell r="J29" t="str">
            <v>00:00:20</v>
          </cell>
        </row>
        <row r="30">
          <cell r="A30" t="str">
            <v>Hyd_Hari Kumar (1008540)</v>
          </cell>
          <cell r="B30">
            <v>69</v>
          </cell>
          <cell r="C30">
            <v>0.138461538461538</v>
          </cell>
          <cell r="D30">
            <v>0</v>
          </cell>
          <cell r="E30">
            <v>1.49253731343284E-2</v>
          </cell>
          <cell r="F30">
            <v>0.21538461538461501</v>
          </cell>
          <cell r="G30">
            <v>0</v>
          </cell>
          <cell r="H30" t="str">
            <v>00:04:07</v>
          </cell>
          <cell r="I30" t="str">
            <v>00:01:00</v>
          </cell>
          <cell r="J30" t="str">
            <v>00:00:14</v>
          </cell>
        </row>
        <row r="31">
          <cell r="A31" t="str">
            <v>Hyd_Heeramani Choudhary (1008541)</v>
          </cell>
          <cell r="B31">
            <v>68</v>
          </cell>
          <cell r="C31">
            <v>0.138461538461538</v>
          </cell>
          <cell r="D31">
            <v>0</v>
          </cell>
          <cell r="E31">
            <v>1.49253731343284E-2</v>
          </cell>
          <cell r="F31">
            <v>0.21538461538461501</v>
          </cell>
          <cell r="G31">
            <v>0</v>
          </cell>
          <cell r="H31" t="str">
            <v>00:04:07</v>
          </cell>
          <cell r="I31" t="str">
            <v>00:01:00</v>
          </cell>
          <cell r="J31" t="str">
            <v>00:00:14</v>
          </cell>
        </row>
        <row r="32">
          <cell r="A32" t="str">
            <v>Hyd_Indra Pal (1008542)</v>
          </cell>
          <cell r="B32">
            <v>67</v>
          </cell>
          <cell r="C32">
            <v>1.7543859649122799E-2</v>
          </cell>
          <cell r="D32">
            <v>0</v>
          </cell>
          <cell r="E32">
            <v>0</v>
          </cell>
          <cell r="F32">
            <v>5.2631578947368397E-2</v>
          </cell>
          <cell r="G32">
            <v>0</v>
          </cell>
          <cell r="H32" t="str">
            <v>00:04:13</v>
          </cell>
          <cell r="I32" t="str">
            <v>00:00:02</v>
          </cell>
          <cell r="J32" t="str">
            <v>00:00:09</v>
          </cell>
        </row>
        <row r="33">
          <cell r="A33" t="str">
            <v>Hyd_Indra Singh (1008543)</v>
          </cell>
          <cell r="B33">
            <v>66</v>
          </cell>
          <cell r="C33">
            <v>1.7543859649122799E-2</v>
          </cell>
          <cell r="D33">
            <v>0</v>
          </cell>
          <cell r="E33">
            <v>0</v>
          </cell>
          <cell r="F33">
            <v>5.2631578947368397E-2</v>
          </cell>
          <cell r="G33">
            <v>0</v>
          </cell>
          <cell r="H33" t="str">
            <v>00:04:13</v>
          </cell>
          <cell r="I33" t="str">
            <v>00:00:02</v>
          </cell>
          <cell r="J33" t="str">
            <v>00:00:09</v>
          </cell>
        </row>
        <row r="34">
          <cell r="A34" t="str">
            <v>Hyd_Jagdish Chandra (1008544)</v>
          </cell>
          <cell r="B34">
            <v>65</v>
          </cell>
          <cell r="C34">
            <v>8.9552238805970102E-2</v>
          </cell>
          <cell r="D34">
            <v>0</v>
          </cell>
          <cell r="E34">
            <v>1.4705882352941201E-2</v>
          </cell>
          <cell r="F34">
            <v>0.119402985074627</v>
          </cell>
          <cell r="G34">
            <v>0.125</v>
          </cell>
          <cell r="H34" t="str">
            <v>00:04:06</v>
          </cell>
          <cell r="I34" t="str">
            <v>00:00:00</v>
          </cell>
          <cell r="J34" t="str">
            <v>00:00:06</v>
          </cell>
        </row>
        <row r="35">
          <cell r="A35" t="str">
            <v>Hyd_Jairaj Vatham (1008545)</v>
          </cell>
          <cell r="B35">
            <v>64</v>
          </cell>
          <cell r="C35">
            <v>8.9552238805970102E-2</v>
          </cell>
          <cell r="D35">
            <v>0</v>
          </cell>
          <cell r="E35">
            <v>1.4705882352941201E-2</v>
          </cell>
          <cell r="F35">
            <v>0.119402985074627</v>
          </cell>
          <cell r="G35">
            <v>0.125</v>
          </cell>
          <cell r="H35" t="str">
            <v>00:04:06</v>
          </cell>
          <cell r="I35" t="str">
            <v>00:00:00</v>
          </cell>
          <cell r="J35" t="str">
            <v>00:00:06</v>
          </cell>
        </row>
        <row r="36">
          <cell r="A36" t="str">
            <v>Hyd_Janardan Mishra (1008546)</v>
          </cell>
          <cell r="B36">
            <v>63</v>
          </cell>
          <cell r="C36">
            <v>0.140625</v>
          </cell>
          <cell r="D36">
            <v>0</v>
          </cell>
          <cell r="E36">
            <v>0</v>
          </cell>
          <cell r="F36">
            <v>0.171875</v>
          </cell>
          <cell r="G36">
            <v>0</v>
          </cell>
          <cell r="H36" t="str">
            <v>00:04:27</v>
          </cell>
          <cell r="I36" t="str">
            <v>00:00:00</v>
          </cell>
          <cell r="J36" t="str">
            <v>00:00:03</v>
          </cell>
        </row>
        <row r="37">
          <cell r="A37" t="str">
            <v>Hyd_Jitendra Kumar (1008547)</v>
          </cell>
          <cell r="B37">
            <v>62</v>
          </cell>
          <cell r="C37">
            <v>0.140625</v>
          </cell>
          <cell r="D37">
            <v>0</v>
          </cell>
          <cell r="E37">
            <v>0</v>
          </cell>
          <cell r="F37">
            <v>0.171875</v>
          </cell>
          <cell r="G37">
            <v>0</v>
          </cell>
          <cell r="H37" t="str">
            <v>00:04:27</v>
          </cell>
          <cell r="I37" t="str">
            <v>00:00:00</v>
          </cell>
          <cell r="J37" t="str">
            <v>00:00:03</v>
          </cell>
        </row>
        <row r="38">
          <cell r="A38" t="str">
            <v>Hyd_John D'Costa (1008548)</v>
          </cell>
          <cell r="B38">
            <v>61</v>
          </cell>
          <cell r="C38">
            <v>0.10344827586206901</v>
          </cell>
          <cell r="D38">
            <v>0</v>
          </cell>
          <cell r="E38">
            <v>0</v>
          </cell>
          <cell r="F38">
            <v>0.24137931034482701</v>
          </cell>
          <cell r="G38">
            <v>0</v>
          </cell>
          <cell r="H38" t="str">
            <v>00:07:56</v>
          </cell>
          <cell r="I38" t="str">
            <v>00:01:32</v>
          </cell>
          <cell r="J38" t="str">
            <v>00:00:25</v>
          </cell>
        </row>
        <row r="39">
          <cell r="A39" t="str">
            <v>Hyd_Julie S (1008549)</v>
          </cell>
          <cell r="B39">
            <v>60</v>
          </cell>
          <cell r="C39">
            <v>0.10344827586206901</v>
          </cell>
          <cell r="D39">
            <v>0</v>
          </cell>
          <cell r="E39">
            <v>0</v>
          </cell>
          <cell r="F39">
            <v>0.24137931034482701</v>
          </cell>
          <cell r="G39">
            <v>0</v>
          </cell>
          <cell r="H39" t="str">
            <v>00:07:56</v>
          </cell>
          <cell r="I39" t="str">
            <v>00:01:32</v>
          </cell>
          <cell r="J39" t="str">
            <v>00:00:25</v>
          </cell>
        </row>
        <row r="40">
          <cell r="A40" t="str">
            <v>Hyd_Jyoti Tulsani (1008550)</v>
          </cell>
          <cell r="B40">
            <v>59</v>
          </cell>
          <cell r="C40">
            <v>7.3529411764705899E-2</v>
          </cell>
          <cell r="D40">
            <v>0</v>
          </cell>
          <cell r="E40">
            <v>0</v>
          </cell>
          <cell r="F40">
            <v>0.11764705882352899</v>
          </cell>
          <cell r="G40">
            <v>0</v>
          </cell>
          <cell r="H40" t="str">
            <v>00:04:08</v>
          </cell>
          <cell r="I40" t="str">
            <v>00:00:07</v>
          </cell>
          <cell r="J40" t="str">
            <v>00:00:05</v>
          </cell>
        </row>
        <row r="41">
          <cell r="A41" t="str">
            <v>Hyd_Kahkasha Parveen (1008551)</v>
          </cell>
          <cell r="B41">
            <v>58</v>
          </cell>
          <cell r="C41">
            <v>7.3529411764705899E-2</v>
          </cell>
          <cell r="D41">
            <v>0</v>
          </cell>
          <cell r="E41">
            <v>0</v>
          </cell>
          <cell r="F41">
            <v>0.11764705882352899</v>
          </cell>
          <cell r="G41">
            <v>0</v>
          </cell>
          <cell r="H41" t="str">
            <v>00:04:08</v>
          </cell>
          <cell r="I41" t="str">
            <v>00:00:07</v>
          </cell>
          <cell r="J41" t="str">
            <v>00:00:05</v>
          </cell>
        </row>
        <row r="42">
          <cell r="A42" t="str">
            <v>Hyd_Kailash Nath (1008552)</v>
          </cell>
          <cell r="B42">
            <v>57</v>
          </cell>
          <cell r="C42">
            <v>4.91803278688525E-2</v>
          </cell>
          <cell r="D42">
            <v>0</v>
          </cell>
          <cell r="E42">
            <v>0</v>
          </cell>
          <cell r="F42">
            <v>9.8360655737704902E-2</v>
          </cell>
          <cell r="G42">
            <v>0</v>
          </cell>
          <cell r="H42" t="str">
            <v>00:04:35</v>
          </cell>
          <cell r="I42" t="str">
            <v>00:00:00</v>
          </cell>
          <cell r="J42" t="str">
            <v>00:00:04</v>
          </cell>
        </row>
        <row r="43">
          <cell r="A43" t="str">
            <v>Hyd_Kalpana Agrawal (1008553)</v>
          </cell>
          <cell r="B43">
            <v>56</v>
          </cell>
          <cell r="C43">
            <v>4.91803278688525E-2</v>
          </cell>
          <cell r="D43">
            <v>0</v>
          </cell>
          <cell r="E43">
            <v>0</v>
          </cell>
          <cell r="F43">
            <v>9.8360655737704902E-2</v>
          </cell>
          <cell r="G43">
            <v>0</v>
          </cell>
          <cell r="H43" t="str">
            <v>00:04:35</v>
          </cell>
          <cell r="I43" t="str">
            <v>00:00:00</v>
          </cell>
          <cell r="J43" t="str">
            <v>00:00:04</v>
          </cell>
        </row>
        <row r="44">
          <cell r="A44" t="str">
            <v>Hyd_Kamini Kumar (1008554)</v>
          </cell>
          <cell r="B44">
            <v>55</v>
          </cell>
          <cell r="C44">
            <v>1.5625E-2</v>
          </cell>
          <cell r="D44">
            <v>0</v>
          </cell>
          <cell r="E44">
            <v>0</v>
          </cell>
          <cell r="F44">
            <v>1.5625E-2</v>
          </cell>
          <cell r="G44">
            <v>0</v>
          </cell>
          <cell r="H44" t="str">
            <v>00:04:34</v>
          </cell>
          <cell r="I44" t="str">
            <v>00:00:03</v>
          </cell>
          <cell r="J44" t="str">
            <v>00:00:05</v>
          </cell>
        </row>
        <row r="45">
          <cell r="A45" t="str">
            <v>Hyd_Kamini Tiwari (1008555)</v>
          </cell>
          <cell r="B45">
            <v>54</v>
          </cell>
          <cell r="C45">
            <v>1.5625E-2</v>
          </cell>
          <cell r="D45">
            <v>0</v>
          </cell>
          <cell r="E45">
            <v>0</v>
          </cell>
          <cell r="F45">
            <v>1.5625E-2</v>
          </cell>
          <cell r="G45">
            <v>0</v>
          </cell>
          <cell r="H45" t="str">
            <v>00:04:34</v>
          </cell>
          <cell r="I45" t="str">
            <v>00:00:03</v>
          </cell>
          <cell r="J45" t="str">
            <v>00:00:05</v>
          </cell>
        </row>
        <row r="46">
          <cell r="A46" t="str">
            <v>Hyd_Kavita Sharma (1008556)</v>
          </cell>
          <cell r="B46">
            <v>53</v>
          </cell>
          <cell r="C46">
            <v>3.5714285714285698E-2</v>
          </cell>
          <cell r="D46">
            <v>0</v>
          </cell>
          <cell r="E46">
            <v>0</v>
          </cell>
          <cell r="F46">
            <v>5.3571428571428603E-2</v>
          </cell>
          <cell r="G46">
            <v>0</v>
          </cell>
          <cell r="H46" t="str">
            <v>00:03:50</v>
          </cell>
          <cell r="I46" t="str">
            <v>00:00:41</v>
          </cell>
          <cell r="J46" t="str">
            <v>00:00:34</v>
          </cell>
        </row>
        <row r="47">
          <cell r="A47" t="str">
            <v>Hyd_Kiran Khubchandani (1008557)</v>
          </cell>
          <cell r="B47">
            <v>52</v>
          </cell>
          <cell r="C47">
            <v>3.5714285714285698E-2</v>
          </cell>
          <cell r="D47">
            <v>0</v>
          </cell>
          <cell r="E47">
            <v>0</v>
          </cell>
          <cell r="F47">
            <v>5.3571428571428603E-2</v>
          </cell>
          <cell r="G47">
            <v>0</v>
          </cell>
          <cell r="H47" t="str">
            <v>00:03:50</v>
          </cell>
          <cell r="I47" t="str">
            <v>00:00:41</v>
          </cell>
          <cell r="J47" t="str">
            <v>00:00:34</v>
          </cell>
        </row>
        <row r="48">
          <cell r="A48" t="str">
            <v>Hyd_Kisun Sah (1008558)</v>
          </cell>
          <cell r="B48">
            <v>51</v>
          </cell>
          <cell r="C48">
            <v>3.4482758620689703E-2</v>
          </cell>
          <cell r="D48">
            <v>0</v>
          </cell>
          <cell r="E48">
            <v>0</v>
          </cell>
          <cell r="F48">
            <v>0.10344827586206901</v>
          </cell>
          <cell r="G48">
            <v>0.16666666666666699</v>
          </cell>
          <cell r="H48" t="str">
            <v>00:04:05</v>
          </cell>
          <cell r="I48" t="str">
            <v>00:00:06</v>
          </cell>
          <cell r="J48" t="str">
            <v>00:00:10</v>
          </cell>
        </row>
        <row r="49">
          <cell r="A49" t="str">
            <v>Hyd_Krishana Kumar (1008559)</v>
          </cell>
          <cell r="B49">
            <v>50</v>
          </cell>
          <cell r="C49">
            <v>3.4482758620689703E-2</v>
          </cell>
          <cell r="D49">
            <v>0</v>
          </cell>
          <cell r="E49">
            <v>0</v>
          </cell>
          <cell r="F49">
            <v>0.10344827586206901</v>
          </cell>
          <cell r="G49">
            <v>0.16666666666666699</v>
          </cell>
          <cell r="H49" t="str">
            <v>00:04:05</v>
          </cell>
          <cell r="I49" t="str">
            <v>00:00:06</v>
          </cell>
          <cell r="J49" t="str">
            <v>00:00:10</v>
          </cell>
        </row>
        <row r="50">
          <cell r="A50" t="str">
            <v>Hyd_Kunj Bihari (1008560)</v>
          </cell>
          <cell r="B50">
            <v>49</v>
          </cell>
          <cell r="C50">
            <v>4.3478260869565202E-2</v>
          </cell>
          <cell r="D50">
            <v>0</v>
          </cell>
          <cell r="E50">
            <v>5.4794520547945202E-2</v>
          </cell>
          <cell r="F50">
            <v>7.2463768115942004E-2</v>
          </cell>
          <cell r="G50">
            <v>0.2</v>
          </cell>
          <cell r="H50" t="str">
            <v>00:03:57</v>
          </cell>
          <cell r="I50" t="str">
            <v>00:01:29</v>
          </cell>
          <cell r="J50" t="str">
            <v>00:00:19</v>
          </cell>
        </row>
        <row r="51">
          <cell r="A51" t="str">
            <v>Hyd_Leena George (1008561)</v>
          </cell>
          <cell r="B51">
            <v>48</v>
          </cell>
          <cell r="C51">
            <v>4.3478260869565202E-2</v>
          </cell>
          <cell r="D51">
            <v>0</v>
          </cell>
          <cell r="E51">
            <v>5.4794520547945202E-2</v>
          </cell>
          <cell r="F51">
            <v>7.2463768115942004E-2</v>
          </cell>
          <cell r="G51">
            <v>0.2</v>
          </cell>
          <cell r="H51" t="str">
            <v>00:03:57</v>
          </cell>
          <cell r="I51" t="str">
            <v>00:01:29</v>
          </cell>
          <cell r="J51" t="str">
            <v>00:00:19</v>
          </cell>
        </row>
        <row r="52">
          <cell r="A52" t="str">
            <v>Hyd_Lilly Lucy (1008562)</v>
          </cell>
          <cell r="B52">
            <v>47</v>
          </cell>
          <cell r="C52">
            <v>0</v>
          </cell>
          <cell r="D52">
            <v>0</v>
          </cell>
          <cell r="E52">
            <v>0</v>
          </cell>
          <cell r="F52">
            <v>0</v>
          </cell>
          <cell r="G52">
            <v>0</v>
          </cell>
          <cell r="H52" t="str">
            <v>00:04:47</v>
          </cell>
          <cell r="J52" t="str">
            <v>00:00:08</v>
          </cell>
        </row>
        <row r="53">
          <cell r="A53" t="str">
            <v>Hyd_Mangal Singh (1008563)</v>
          </cell>
          <cell r="B53">
            <v>46</v>
          </cell>
          <cell r="C53">
            <v>0</v>
          </cell>
          <cell r="D53">
            <v>0</v>
          </cell>
          <cell r="E53">
            <v>0</v>
          </cell>
          <cell r="F53">
            <v>0</v>
          </cell>
          <cell r="G53">
            <v>0</v>
          </cell>
          <cell r="H53" t="str">
            <v>00:04:47</v>
          </cell>
          <cell r="J53" t="str">
            <v>00:00:08</v>
          </cell>
        </row>
        <row r="54">
          <cell r="A54" t="str">
            <v>Hyd_Manisha Shrivastava (1008564)</v>
          </cell>
          <cell r="B54">
            <v>45</v>
          </cell>
          <cell r="C54">
            <v>0.11111111111111099</v>
          </cell>
          <cell r="D54">
            <v>0</v>
          </cell>
          <cell r="E54">
            <v>0</v>
          </cell>
          <cell r="F54">
            <v>0.22222222222222199</v>
          </cell>
          <cell r="G54">
            <v>0</v>
          </cell>
          <cell r="H54" t="str">
            <v>00:03:54</v>
          </cell>
          <cell r="I54" t="str">
            <v>00:00:23</v>
          </cell>
          <cell r="J54" t="str">
            <v>00:00:04</v>
          </cell>
        </row>
        <row r="55">
          <cell r="A55" t="str">
            <v>Hyd_Manjusha Sinha (1008565)</v>
          </cell>
          <cell r="B55">
            <v>44</v>
          </cell>
          <cell r="C55">
            <v>0.11111111111111099</v>
          </cell>
          <cell r="D55">
            <v>0</v>
          </cell>
          <cell r="E55">
            <v>0</v>
          </cell>
          <cell r="F55">
            <v>0.22222222222222199</v>
          </cell>
          <cell r="G55">
            <v>0</v>
          </cell>
          <cell r="H55" t="str">
            <v>00:03:54</v>
          </cell>
          <cell r="I55" t="str">
            <v>00:00:23</v>
          </cell>
          <cell r="J55" t="str">
            <v>00:00:04</v>
          </cell>
        </row>
        <row r="56">
          <cell r="A56" t="str">
            <v>Hyd_ManjuTiwari Lab (1008566)</v>
          </cell>
          <cell r="B56">
            <v>43</v>
          </cell>
          <cell r="C56">
            <v>0.14492753623188401</v>
          </cell>
          <cell r="D56">
            <v>0</v>
          </cell>
          <cell r="E56">
            <v>0</v>
          </cell>
          <cell r="F56">
            <v>0.202898550724638</v>
          </cell>
          <cell r="G56">
            <v>7.1428571428571397E-2</v>
          </cell>
          <cell r="H56" t="str">
            <v>00:03:50</v>
          </cell>
          <cell r="I56" t="str">
            <v>00:00:17</v>
          </cell>
          <cell r="J56" t="str">
            <v>00:00:29</v>
          </cell>
        </row>
        <row r="57">
          <cell r="A57" t="str">
            <v>Hyd_Manoj Kumar (1008567)</v>
          </cell>
          <cell r="B57">
            <v>42</v>
          </cell>
          <cell r="C57">
            <v>0.14492753623188401</v>
          </cell>
          <cell r="D57">
            <v>0</v>
          </cell>
          <cell r="E57">
            <v>0</v>
          </cell>
          <cell r="F57">
            <v>0.202898550724638</v>
          </cell>
          <cell r="G57">
            <v>7.1428571428571397E-2</v>
          </cell>
          <cell r="H57" t="str">
            <v>00:03:50</v>
          </cell>
          <cell r="I57" t="str">
            <v>00:00:17</v>
          </cell>
          <cell r="J57" t="str">
            <v>00:00:29</v>
          </cell>
        </row>
        <row r="58">
          <cell r="A58" t="str">
            <v>Hyd_Manoj Kumar (1008568)</v>
          </cell>
          <cell r="B58">
            <v>41</v>
          </cell>
          <cell r="C58">
            <v>6.7796610169491497E-2</v>
          </cell>
          <cell r="D58">
            <v>0</v>
          </cell>
          <cell r="E58">
            <v>0</v>
          </cell>
          <cell r="F58">
            <v>0.11864406779661001</v>
          </cell>
          <cell r="G58">
            <v>0</v>
          </cell>
          <cell r="H58" t="str">
            <v>00:03:47</v>
          </cell>
          <cell r="I58" t="str">
            <v>00:00:18</v>
          </cell>
          <cell r="J58" t="str">
            <v>00:00:27</v>
          </cell>
        </row>
        <row r="59">
          <cell r="A59" t="str">
            <v>Hyd_Masroor Adil (1008569)</v>
          </cell>
          <cell r="B59">
            <v>40</v>
          </cell>
          <cell r="C59">
            <v>6.7796610169491497E-2</v>
          </cell>
          <cell r="D59">
            <v>0</v>
          </cell>
          <cell r="E59">
            <v>0</v>
          </cell>
          <cell r="F59">
            <v>0.11864406779661001</v>
          </cell>
          <cell r="G59">
            <v>0</v>
          </cell>
          <cell r="H59" t="str">
            <v>00:03:47</v>
          </cell>
          <cell r="I59" t="str">
            <v>00:00:18</v>
          </cell>
          <cell r="J59" t="str">
            <v>00:00:27</v>
          </cell>
        </row>
        <row r="60">
          <cell r="A60" t="str">
            <v>Hyd_Meena Zinjare (1008570)</v>
          </cell>
          <cell r="B60">
            <v>39</v>
          </cell>
          <cell r="C60">
            <v>2.6315789473684199E-2</v>
          </cell>
          <cell r="D60">
            <v>0</v>
          </cell>
          <cell r="E60">
            <v>4.9382716049382699E-2</v>
          </cell>
          <cell r="F60">
            <v>7.8947368421052599E-2</v>
          </cell>
          <cell r="G60">
            <v>0.16666666666666699</v>
          </cell>
          <cell r="H60" t="str">
            <v>00:03:07</v>
          </cell>
          <cell r="I60" t="str">
            <v>00:01:21</v>
          </cell>
          <cell r="J60" t="str">
            <v>00:00:19</v>
          </cell>
        </row>
        <row r="61">
          <cell r="A61" t="str">
            <v>Hyd_Mehnaz Khan (1008571)</v>
          </cell>
          <cell r="B61">
            <v>38</v>
          </cell>
          <cell r="C61">
            <v>2.6315789473684199E-2</v>
          </cell>
          <cell r="D61">
            <v>0</v>
          </cell>
          <cell r="E61">
            <v>4.9382716049382699E-2</v>
          </cell>
          <cell r="F61">
            <v>7.8947368421052599E-2</v>
          </cell>
          <cell r="G61">
            <v>0.16666666666666699</v>
          </cell>
          <cell r="H61" t="str">
            <v>00:03:07</v>
          </cell>
          <cell r="I61" t="str">
            <v>00:01:21</v>
          </cell>
          <cell r="J61" t="str">
            <v>00:00:19</v>
          </cell>
        </row>
        <row r="62">
          <cell r="A62" t="str">
            <v>Hyd_Mercy Thampi (1008572)</v>
          </cell>
          <cell r="B62">
            <v>37</v>
          </cell>
          <cell r="C62">
            <v>3.7974683544303799E-2</v>
          </cell>
          <cell r="D62">
            <v>0</v>
          </cell>
          <cell r="E62">
            <v>0</v>
          </cell>
          <cell r="F62">
            <v>7.5949367088607597E-2</v>
          </cell>
          <cell r="G62">
            <v>0.16666666666666699</v>
          </cell>
          <cell r="H62" t="str">
            <v>00:03:28</v>
          </cell>
          <cell r="I62" t="str">
            <v>00:00:17</v>
          </cell>
          <cell r="J62" t="str">
            <v>00:00:23</v>
          </cell>
        </row>
        <row r="63">
          <cell r="A63" t="str">
            <v>Hyd_Miny Mole (1008573)</v>
          </cell>
          <cell r="B63">
            <v>36</v>
          </cell>
          <cell r="C63">
            <v>3.7974683544303799E-2</v>
          </cell>
          <cell r="D63">
            <v>0</v>
          </cell>
          <cell r="E63">
            <v>0</v>
          </cell>
          <cell r="F63">
            <v>7.5949367088607597E-2</v>
          </cell>
          <cell r="G63">
            <v>0.16666666666666699</v>
          </cell>
          <cell r="H63" t="str">
            <v>00:03:28</v>
          </cell>
          <cell r="I63" t="str">
            <v>00:00:17</v>
          </cell>
          <cell r="J63" t="str">
            <v>00:00:23</v>
          </cell>
        </row>
        <row r="64">
          <cell r="A64" t="str">
            <v>Hyd_Mohd Rafi (1008574)</v>
          </cell>
          <cell r="B64">
            <v>35</v>
          </cell>
          <cell r="C64">
            <v>8.7719298245614002E-2</v>
          </cell>
          <cell r="D64">
            <v>0</v>
          </cell>
          <cell r="E64">
            <v>0</v>
          </cell>
          <cell r="F64">
            <v>0.105263157894737</v>
          </cell>
          <cell r="G64">
            <v>0</v>
          </cell>
          <cell r="H64" t="str">
            <v>00:04:29</v>
          </cell>
          <cell r="I64" t="str">
            <v>00:00:17</v>
          </cell>
          <cell r="J64" t="str">
            <v>00:00:50</v>
          </cell>
        </row>
        <row r="65">
          <cell r="A65" t="str">
            <v>Hyd_Mubeen Khan (1008575)</v>
          </cell>
          <cell r="B65">
            <v>34</v>
          </cell>
          <cell r="C65">
            <v>8.7719298245614002E-2</v>
          </cell>
          <cell r="D65">
            <v>0</v>
          </cell>
          <cell r="E65">
            <v>0</v>
          </cell>
          <cell r="F65">
            <v>0.105263157894737</v>
          </cell>
          <cell r="G65">
            <v>0</v>
          </cell>
          <cell r="H65" t="str">
            <v>00:04:29</v>
          </cell>
          <cell r="I65" t="str">
            <v>00:00:17</v>
          </cell>
          <cell r="J65" t="str">
            <v>00:00:50</v>
          </cell>
        </row>
        <row r="66">
          <cell r="A66" t="str">
            <v>Hyd_Mukesh Nagar (1008576)</v>
          </cell>
          <cell r="B66">
            <v>33</v>
          </cell>
          <cell r="C66">
            <v>0.107692307692308</v>
          </cell>
          <cell r="D66">
            <v>0</v>
          </cell>
          <cell r="E66">
            <v>0</v>
          </cell>
          <cell r="F66">
            <v>0.16923076923076899</v>
          </cell>
          <cell r="G66">
            <v>0</v>
          </cell>
          <cell r="H66" t="str">
            <v>00:04:15</v>
          </cell>
          <cell r="I66" t="str">
            <v>00:00:03</v>
          </cell>
          <cell r="J66" t="str">
            <v>00:00:10</v>
          </cell>
        </row>
        <row r="67">
          <cell r="A67" t="str">
            <v>Hyd_Nandu Kumar (1008577)</v>
          </cell>
          <cell r="B67">
            <v>32</v>
          </cell>
          <cell r="C67">
            <v>0.107692307692308</v>
          </cell>
          <cell r="D67">
            <v>0</v>
          </cell>
          <cell r="E67">
            <v>0</v>
          </cell>
          <cell r="F67">
            <v>0.16923076923076899</v>
          </cell>
          <cell r="G67">
            <v>0</v>
          </cell>
          <cell r="H67" t="str">
            <v>00:04:15</v>
          </cell>
          <cell r="I67" t="str">
            <v>00:00:03</v>
          </cell>
          <cell r="J67" t="str">
            <v>00:00:10</v>
          </cell>
        </row>
        <row r="68">
          <cell r="A68" t="str">
            <v>Hyd_Narayan Singh (1008578)</v>
          </cell>
          <cell r="B68">
            <v>31</v>
          </cell>
          <cell r="C68">
            <v>7.3529411764705899E-2</v>
          </cell>
          <cell r="D68">
            <v>0</v>
          </cell>
          <cell r="E68">
            <v>0</v>
          </cell>
          <cell r="F68">
            <v>0.13235294117647001</v>
          </cell>
          <cell r="G68">
            <v>0</v>
          </cell>
          <cell r="H68" t="str">
            <v>00:04:17</v>
          </cell>
          <cell r="I68" t="str">
            <v>00:00:00</v>
          </cell>
          <cell r="J68" t="str">
            <v>00:00:09</v>
          </cell>
        </row>
        <row r="69">
          <cell r="A69" t="str">
            <v>Hyd_Neeraj Saxena (1008579)</v>
          </cell>
          <cell r="B69">
            <v>30</v>
          </cell>
          <cell r="C69">
            <v>7.3529411764705899E-2</v>
          </cell>
          <cell r="D69">
            <v>0</v>
          </cell>
          <cell r="E69">
            <v>0</v>
          </cell>
          <cell r="F69">
            <v>0.13235294117647001</v>
          </cell>
          <cell r="G69">
            <v>0</v>
          </cell>
          <cell r="H69" t="str">
            <v>00:04:17</v>
          </cell>
          <cell r="I69" t="str">
            <v>00:00:00</v>
          </cell>
          <cell r="J69" t="str">
            <v>00:00:09</v>
          </cell>
        </row>
        <row r="70">
          <cell r="A70" t="str">
            <v>Hyd_Neeru Mehta (1008580)</v>
          </cell>
          <cell r="B70">
            <v>29</v>
          </cell>
          <cell r="C70">
            <v>0.05</v>
          </cell>
          <cell r="D70">
            <v>0</v>
          </cell>
          <cell r="E70">
            <v>0</v>
          </cell>
          <cell r="F70">
            <v>0.1</v>
          </cell>
          <cell r="G70">
            <v>0</v>
          </cell>
          <cell r="H70" t="str">
            <v>00:04:18</v>
          </cell>
          <cell r="I70" t="str">
            <v>00:00:01</v>
          </cell>
          <cell r="J70" t="str">
            <v>00:00:07</v>
          </cell>
        </row>
        <row r="71">
          <cell r="A71" t="str">
            <v>Hyd_Nikita Panwalkar (1008581)</v>
          </cell>
          <cell r="B71">
            <v>28</v>
          </cell>
          <cell r="C71">
            <v>0.05</v>
          </cell>
          <cell r="D71">
            <v>0</v>
          </cell>
          <cell r="E71">
            <v>0</v>
          </cell>
          <cell r="F71">
            <v>0.1</v>
          </cell>
          <cell r="G71">
            <v>0</v>
          </cell>
          <cell r="H71" t="str">
            <v>00:04:18</v>
          </cell>
          <cell r="I71" t="str">
            <v>00:00:01</v>
          </cell>
          <cell r="J71" t="str">
            <v>00:00:07</v>
          </cell>
        </row>
        <row r="72">
          <cell r="A72" t="str">
            <v>Hyd_Nitin Bhatia (1008582)</v>
          </cell>
          <cell r="B72">
            <v>29</v>
          </cell>
          <cell r="C72">
            <v>7.1428571428571397E-2</v>
          </cell>
          <cell r="D72">
            <v>0</v>
          </cell>
          <cell r="E72">
            <v>0</v>
          </cell>
          <cell r="F72">
            <v>8.9285714285714302E-2</v>
          </cell>
          <cell r="G72">
            <v>0</v>
          </cell>
          <cell r="H72" t="str">
            <v>00:04:10</v>
          </cell>
          <cell r="I72" t="str">
            <v>00:00:03</v>
          </cell>
          <cell r="J72" t="str">
            <v>00:00:07</v>
          </cell>
        </row>
        <row r="73">
          <cell r="A73" t="str">
            <v>Hyd_Om Prakash (1008583)</v>
          </cell>
          <cell r="B73">
            <v>30</v>
          </cell>
          <cell r="C73">
            <v>7.1428571428571397E-2</v>
          </cell>
          <cell r="D73">
            <v>0</v>
          </cell>
          <cell r="E73">
            <v>0</v>
          </cell>
          <cell r="F73">
            <v>8.9285714285714302E-2</v>
          </cell>
          <cell r="G73">
            <v>0</v>
          </cell>
          <cell r="H73" t="str">
            <v>00:04:10</v>
          </cell>
          <cell r="I73" t="str">
            <v>00:00:03</v>
          </cell>
          <cell r="J73" t="str">
            <v>00:00:07</v>
          </cell>
        </row>
        <row r="74">
          <cell r="A74" t="str">
            <v>Hyd_Omprakash O (1008584)</v>
          </cell>
          <cell r="B74">
            <v>31</v>
          </cell>
          <cell r="C74">
            <v>7.69230769230769E-2</v>
          </cell>
          <cell r="D74">
            <v>0</v>
          </cell>
          <cell r="E74">
            <v>0</v>
          </cell>
          <cell r="F74">
            <v>7.69230769230769E-2</v>
          </cell>
          <cell r="G74">
            <v>0</v>
          </cell>
          <cell r="H74" t="str">
            <v>00:03:33</v>
          </cell>
          <cell r="I74" t="str">
            <v>00:00:00</v>
          </cell>
          <cell r="J74" t="str">
            <v>00:00:09</v>
          </cell>
        </row>
        <row r="75">
          <cell r="A75" t="str">
            <v>Hyd_Owais Mohd (1008585)</v>
          </cell>
          <cell r="B75">
            <v>32</v>
          </cell>
          <cell r="C75">
            <v>7.69230769230769E-2</v>
          </cell>
          <cell r="D75">
            <v>0</v>
          </cell>
          <cell r="E75">
            <v>0</v>
          </cell>
          <cell r="F75">
            <v>7.69230769230769E-2</v>
          </cell>
          <cell r="G75">
            <v>0</v>
          </cell>
          <cell r="H75" t="str">
            <v>00:03:33</v>
          </cell>
          <cell r="I75" t="str">
            <v>00:00:00</v>
          </cell>
          <cell r="J75" t="str">
            <v>00:00:09</v>
          </cell>
        </row>
        <row r="76">
          <cell r="A76" t="str">
            <v>Hyd_Pankaj Shelkey (1008586)</v>
          </cell>
          <cell r="B76">
            <v>33</v>
          </cell>
          <cell r="C76">
            <v>5.4054054054054099E-2</v>
          </cell>
          <cell r="D76">
            <v>0</v>
          </cell>
          <cell r="E76">
            <v>0</v>
          </cell>
          <cell r="F76">
            <v>8.1081081081081099E-2</v>
          </cell>
          <cell r="G76">
            <v>0</v>
          </cell>
          <cell r="H76" t="str">
            <v>00:03:38</v>
          </cell>
          <cell r="I76" t="str">
            <v>00:00:18</v>
          </cell>
          <cell r="J76" t="str">
            <v>00:00:20</v>
          </cell>
        </row>
        <row r="77">
          <cell r="A77" t="str">
            <v>Hyd_Partha Sarathi (1008587)</v>
          </cell>
          <cell r="B77">
            <v>34</v>
          </cell>
          <cell r="C77">
            <v>5.4054054054054099E-2</v>
          </cell>
          <cell r="D77">
            <v>0</v>
          </cell>
          <cell r="E77">
            <v>0</v>
          </cell>
          <cell r="F77">
            <v>8.1081081081081099E-2</v>
          </cell>
          <cell r="G77">
            <v>0</v>
          </cell>
          <cell r="H77" t="str">
            <v>00:03:38</v>
          </cell>
          <cell r="I77" t="str">
            <v>00:00:18</v>
          </cell>
          <cell r="J77" t="str">
            <v>00:00:20</v>
          </cell>
        </row>
        <row r="78">
          <cell r="A78" t="str">
            <v>Hyd_Prabha Desikan (1008588)</v>
          </cell>
          <cell r="B78">
            <v>35</v>
          </cell>
          <cell r="C78">
            <v>5.63380281690141E-2</v>
          </cell>
          <cell r="D78">
            <v>0</v>
          </cell>
          <cell r="E78">
            <v>0</v>
          </cell>
          <cell r="F78">
            <v>9.85915492957746E-2</v>
          </cell>
          <cell r="G78">
            <v>0</v>
          </cell>
          <cell r="H78" t="str">
            <v>00:03:57</v>
          </cell>
          <cell r="I78" t="str">
            <v>00:00:00</v>
          </cell>
          <cell r="J78" t="str">
            <v>00:00:10</v>
          </cell>
        </row>
        <row r="79">
          <cell r="A79" t="str">
            <v>Hyd_Pramod Tiwari (1008589)</v>
          </cell>
          <cell r="B79">
            <v>36</v>
          </cell>
          <cell r="C79">
            <v>5.63380281690141E-2</v>
          </cell>
          <cell r="D79">
            <v>0</v>
          </cell>
          <cell r="E79">
            <v>0</v>
          </cell>
          <cell r="F79">
            <v>9.85915492957746E-2</v>
          </cell>
          <cell r="G79">
            <v>0</v>
          </cell>
          <cell r="H79" t="str">
            <v>00:03:57</v>
          </cell>
          <cell r="I79" t="str">
            <v>00:00:00</v>
          </cell>
          <cell r="J79" t="str">
            <v>00:00:10</v>
          </cell>
        </row>
        <row r="80">
          <cell r="A80" t="str">
            <v>Hyd_Prasannakumari S (1008590)</v>
          </cell>
          <cell r="B80">
            <v>37</v>
          </cell>
          <cell r="C80">
            <v>0.13636363636363599</v>
          </cell>
          <cell r="D80">
            <v>0</v>
          </cell>
          <cell r="E80">
            <v>0</v>
          </cell>
          <cell r="F80">
            <v>0.18181818181818199</v>
          </cell>
          <cell r="G80">
            <v>8.3333333333333301E-2</v>
          </cell>
          <cell r="H80" t="str">
            <v>00:03:53</v>
          </cell>
          <cell r="I80" t="str">
            <v>00:00:03</v>
          </cell>
          <cell r="J80" t="str">
            <v>00:01:01</v>
          </cell>
        </row>
        <row r="81">
          <cell r="A81" t="str">
            <v>Hyd_Praveen Kumar (1008591)</v>
          </cell>
          <cell r="B81">
            <v>38</v>
          </cell>
          <cell r="C81">
            <v>0.13636363636363599</v>
          </cell>
          <cell r="D81">
            <v>0</v>
          </cell>
          <cell r="E81">
            <v>0</v>
          </cell>
          <cell r="F81">
            <v>0.18181818181818199</v>
          </cell>
          <cell r="G81">
            <v>8.3333333333333301E-2</v>
          </cell>
          <cell r="H81" t="str">
            <v>00:03:53</v>
          </cell>
          <cell r="I81" t="str">
            <v>00:00:03</v>
          </cell>
          <cell r="J81" t="str">
            <v>00:01:01</v>
          </cell>
        </row>
        <row r="82">
          <cell r="A82" t="str">
            <v>Hyd_Rachel Mathew (1008592)</v>
          </cell>
          <cell r="B82">
            <v>39</v>
          </cell>
          <cell r="C82">
            <v>8.8235294117647106E-2</v>
          </cell>
          <cell r="D82">
            <v>0</v>
          </cell>
          <cell r="E82">
            <v>0</v>
          </cell>
          <cell r="F82">
            <v>8.8235294117647106E-2</v>
          </cell>
          <cell r="G82">
            <v>0</v>
          </cell>
          <cell r="H82" t="str">
            <v>00:04:14</v>
          </cell>
          <cell r="I82" t="str">
            <v>00:00:00</v>
          </cell>
          <cell r="J82" t="str">
            <v>00:00:07</v>
          </cell>
        </row>
        <row r="83">
          <cell r="A83" t="str">
            <v>Hyd_Rachita Anupam (1008593)</v>
          </cell>
          <cell r="B83">
            <v>40</v>
          </cell>
          <cell r="C83">
            <v>8.8235294117647106E-2</v>
          </cell>
          <cell r="D83">
            <v>0</v>
          </cell>
          <cell r="E83">
            <v>0</v>
          </cell>
          <cell r="F83">
            <v>8.8235294117647106E-2</v>
          </cell>
          <cell r="G83">
            <v>0</v>
          </cell>
          <cell r="H83" t="str">
            <v>00:04:14</v>
          </cell>
          <cell r="I83" t="str">
            <v>00:00:00</v>
          </cell>
          <cell r="J83" t="str">
            <v>00:00:07</v>
          </cell>
        </row>
        <row r="84">
          <cell r="A84" t="str">
            <v>Hyd_Rachna Chauhan (1008594)</v>
          </cell>
          <cell r="B84">
            <v>41</v>
          </cell>
          <cell r="C84">
            <v>3.7037037037037E-2</v>
          </cell>
          <cell r="D84">
            <v>0</v>
          </cell>
          <cell r="E84">
            <v>0</v>
          </cell>
          <cell r="F84">
            <v>0.12962962962963001</v>
          </cell>
          <cell r="G84">
            <v>0.28571428571428598</v>
          </cell>
          <cell r="H84" t="str">
            <v>00:04:09</v>
          </cell>
          <cell r="I84" t="str">
            <v>00:00:12</v>
          </cell>
          <cell r="J84" t="str">
            <v>00:00:05</v>
          </cell>
        </row>
        <row r="85">
          <cell r="A85" t="str">
            <v>Hyd_Raj Kumar (1008595)</v>
          </cell>
          <cell r="B85">
            <v>42</v>
          </cell>
          <cell r="C85">
            <v>3.7037037037037E-2</v>
          </cell>
          <cell r="D85">
            <v>0</v>
          </cell>
          <cell r="E85">
            <v>0</v>
          </cell>
          <cell r="F85">
            <v>0.12962962962963001</v>
          </cell>
          <cell r="G85">
            <v>0.28571428571428598</v>
          </cell>
          <cell r="H85" t="str">
            <v>00:04:09</v>
          </cell>
          <cell r="I85" t="str">
            <v>00:00:12</v>
          </cell>
          <cell r="J85" t="str">
            <v>00:00:05</v>
          </cell>
        </row>
        <row r="86">
          <cell r="A86" t="str">
            <v>Hyd_Rajeev Garg (1008596)</v>
          </cell>
          <cell r="B86">
            <v>43</v>
          </cell>
          <cell r="C86">
            <v>4.08163265306122E-2</v>
          </cell>
          <cell r="D86">
            <v>0</v>
          </cell>
          <cell r="E86">
            <v>0</v>
          </cell>
          <cell r="F86">
            <v>6.1224489795918401E-2</v>
          </cell>
          <cell r="G86">
            <v>0</v>
          </cell>
          <cell r="H86" t="str">
            <v>00:04:02</v>
          </cell>
          <cell r="I86" t="str">
            <v>00:00:01</v>
          </cell>
          <cell r="J86" t="str">
            <v>00:00:04</v>
          </cell>
        </row>
        <row r="87">
          <cell r="A87" t="str">
            <v>Hyd_Rajeev Kumar (1008597)</v>
          </cell>
          <cell r="B87">
            <v>44</v>
          </cell>
          <cell r="C87">
            <v>4.08163265306122E-2</v>
          </cell>
          <cell r="D87">
            <v>0</v>
          </cell>
          <cell r="E87">
            <v>0</v>
          </cell>
          <cell r="F87">
            <v>6.1224489795918401E-2</v>
          </cell>
          <cell r="G87">
            <v>0</v>
          </cell>
          <cell r="H87" t="str">
            <v>00:04:02</v>
          </cell>
          <cell r="I87" t="str">
            <v>00:00:01</v>
          </cell>
          <cell r="J87" t="str">
            <v>00:00:04</v>
          </cell>
        </row>
        <row r="88">
          <cell r="A88" t="str">
            <v>Hyd_Rajendra Gupta (1008598)</v>
          </cell>
          <cell r="B88">
            <v>45</v>
          </cell>
          <cell r="C88">
            <v>7.5471698113207503E-2</v>
          </cell>
          <cell r="D88">
            <v>0</v>
          </cell>
          <cell r="E88">
            <v>0</v>
          </cell>
          <cell r="F88">
            <v>0.113207547169811</v>
          </cell>
          <cell r="G88">
            <v>0</v>
          </cell>
          <cell r="H88" t="str">
            <v>00:05:37</v>
          </cell>
          <cell r="I88" t="str">
            <v>00:00:04</v>
          </cell>
          <cell r="J88" t="str">
            <v>00:00:23</v>
          </cell>
        </row>
        <row r="89">
          <cell r="A89" t="str">
            <v>Hyd_Rajendra Kumar (1008599)</v>
          </cell>
          <cell r="B89">
            <v>46</v>
          </cell>
          <cell r="C89">
            <v>7.5471698113207503E-2</v>
          </cell>
          <cell r="D89">
            <v>0</v>
          </cell>
          <cell r="E89">
            <v>0</v>
          </cell>
          <cell r="F89">
            <v>0.113207547169811</v>
          </cell>
          <cell r="G89">
            <v>0</v>
          </cell>
          <cell r="H89" t="str">
            <v>00:05:37</v>
          </cell>
          <cell r="I89" t="str">
            <v>00:00:04</v>
          </cell>
          <cell r="J89" t="str">
            <v>00:00:23</v>
          </cell>
        </row>
        <row r="90">
          <cell r="A90" t="str">
            <v>Hyd_Rajendra Prasad (1008600)</v>
          </cell>
          <cell r="B90">
            <v>47</v>
          </cell>
          <cell r="C90">
            <v>3.0769230769230799E-2</v>
          </cell>
          <cell r="D90">
            <v>1.5384615384615399E-2</v>
          </cell>
          <cell r="E90">
            <v>0</v>
          </cell>
          <cell r="F90">
            <v>7.69230769230769E-2</v>
          </cell>
          <cell r="G90">
            <v>0.4</v>
          </cell>
          <cell r="H90" t="str">
            <v>00:04:17</v>
          </cell>
          <cell r="I90" t="str">
            <v>00:00:12</v>
          </cell>
          <cell r="J90" t="str">
            <v>00:00:07</v>
          </cell>
        </row>
        <row r="91">
          <cell r="A91" t="str">
            <v>Hyd_Rajesh Kumar (1008601)</v>
          </cell>
          <cell r="B91">
            <v>48</v>
          </cell>
          <cell r="C91">
            <v>3.0769230769230799E-2</v>
          </cell>
          <cell r="D91">
            <v>1.5384615384615399E-2</v>
          </cell>
          <cell r="E91">
            <v>0</v>
          </cell>
          <cell r="F91">
            <v>7.69230769230769E-2</v>
          </cell>
          <cell r="G91">
            <v>0.4</v>
          </cell>
          <cell r="H91" t="str">
            <v>00:04:17</v>
          </cell>
          <cell r="I91" t="str">
            <v>00:00:12</v>
          </cell>
          <cell r="J91" t="str">
            <v>00:00:07</v>
          </cell>
        </row>
        <row r="92">
          <cell r="A92" t="str">
            <v>Hyd_Rajesh Kumar (1008602)</v>
          </cell>
          <cell r="B92">
            <v>49</v>
          </cell>
          <cell r="C92">
            <v>6.7796610169491497E-2</v>
          </cell>
          <cell r="D92">
            <v>0</v>
          </cell>
          <cell r="E92">
            <v>0</v>
          </cell>
          <cell r="F92">
            <v>0.101694915254237</v>
          </cell>
          <cell r="G92">
            <v>0</v>
          </cell>
          <cell r="H92" t="str">
            <v>00:04:10</v>
          </cell>
          <cell r="I92" t="str">
            <v>00:00:29</v>
          </cell>
          <cell r="J92" t="str">
            <v>00:00:04</v>
          </cell>
        </row>
        <row r="93">
          <cell r="A93" t="str">
            <v>Hyd_Rajesh Sharma (1008603)</v>
          </cell>
          <cell r="B93">
            <v>50</v>
          </cell>
          <cell r="C93">
            <v>6.7796610169491497E-2</v>
          </cell>
          <cell r="D93">
            <v>0</v>
          </cell>
          <cell r="E93">
            <v>0</v>
          </cell>
          <cell r="F93">
            <v>0.101694915254237</v>
          </cell>
          <cell r="G93">
            <v>0</v>
          </cell>
          <cell r="H93" t="str">
            <v>00:04:10</v>
          </cell>
          <cell r="I93" t="str">
            <v>00:00:29</v>
          </cell>
          <cell r="J93" t="str">
            <v>00:00:04</v>
          </cell>
        </row>
        <row r="94">
          <cell r="A94" t="str">
            <v>Hyd_Raji Abraham (1008604)</v>
          </cell>
          <cell r="B94">
            <v>51</v>
          </cell>
          <cell r="C94">
            <v>6.0606060606060601E-2</v>
          </cell>
          <cell r="D94">
            <v>0</v>
          </cell>
          <cell r="E94">
            <v>0</v>
          </cell>
          <cell r="F94">
            <v>0.10606060606060599</v>
          </cell>
          <cell r="G94">
            <v>0</v>
          </cell>
          <cell r="H94" t="str">
            <v>00:04:13</v>
          </cell>
          <cell r="I94" t="str">
            <v>00:00:21</v>
          </cell>
          <cell r="J94" t="str">
            <v>00:00:19</v>
          </cell>
        </row>
        <row r="95">
          <cell r="A95" t="str">
            <v>Hyd_Rajshree Dhabekar (1008605)</v>
          </cell>
          <cell r="B95">
            <v>52</v>
          </cell>
          <cell r="C95">
            <v>6.0606060606060601E-2</v>
          </cell>
          <cell r="D95">
            <v>0</v>
          </cell>
          <cell r="E95">
            <v>0</v>
          </cell>
          <cell r="F95">
            <v>0.10606060606060599</v>
          </cell>
          <cell r="G95">
            <v>0</v>
          </cell>
          <cell r="H95" t="str">
            <v>00:04:13</v>
          </cell>
          <cell r="I95" t="str">
            <v>00:00:21</v>
          </cell>
          <cell r="J95" t="str">
            <v>00:00:19</v>
          </cell>
        </row>
        <row r="96">
          <cell r="A96" t="str">
            <v>Hyd_Rakhi Jodhani (1008606)</v>
          </cell>
          <cell r="B96">
            <v>53</v>
          </cell>
          <cell r="C96">
            <v>5.9701492537313397E-2</v>
          </cell>
          <cell r="D96">
            <v>0</v>
          </cell>
          <cell r="E96">
            <v>0</v>
          </cell>
          <cell r="F96">
            <v>5.9701492537313397E-2</v>
          </cell>
          <cell r="G96">
            <v>0</v>
          </cell>
          <cell r="H96" t="str">
            <v>00:04:11</v>
          </cell>
          <cell r="I96" t="str">
            <v>00:00:02</v>
          </cell>
          <cell r="J96" t="str">
            <v>00:00:04</v>
          </cell>
        </row>
        <row r="97">
          <cell r="A97" t="str">
            <v>Hyd_Ramji Prasad (1008607)</v>
          </cell>
          <cell r="B97">
            <v>54</v>
          </cell>
          <cell r="C97">
            <v>5.9701492537313397E-2</v>
          </cell>
          <cell r="D97">
            <v>0</v>
          </cell>
          <cell r="E97">
            <v>0</v>
          </cell>
          <cell r="F97">
            <v>5.9701492537313397E-2</v>
          </cell>
          <cell r="G97">
            <v>0</v>
          </cell>
          <cell r="H97" t="str">
            <v>00:04:11</v>
          </cell>
          <cell r="I97" t="str">
            <v>00:00:02</v>
          </cell>
          <cell r="J97" t="str">
            <v>00:00:04</v>
          </cell>
        </row>
        <row r="98">
          <cell r="A98" t="str">
            <v>Del_Rashid (1008608)</v>
          </cell>
          <cell r="B98">
            <v>55</v>
          </cell>
          <cell r="C98">
            <v>0</v>
          </cell>
          <cell r="D98">
            <v>0</v>
          </cell>
          <cell r="E98">
            <v>0</v>
          </cell>
          <cell r="F98">
            <v>2.8571428571428598E-2</v>
          </cell>
          <cell r="G98">
            <v>1</v>
          </cell>
          <cell r="H98" t="str">
            <v>00:03:49</v>
          </cell>
          <cell r="I98" t="str">
            <v>00:00:00</v>
          </cell>
          <cell r="J98" t="str">
            <v>00:00:13</v>
          </cell>
        </row>
        <row r="99">
          <cell r="A99" t="str">
            <v>Del_Rashmi Gajbe (1008609)</v>
          </cell>
          <cell r="B99">
            <v>56</v>
          </cell>
          <cell r="C99">
            <v>0</v>
          </cell>
          <cell r="D99">
            <v>0</v>
          </cell>
          <cell r="E99">
            <v>0</v>
          </cell>
          <cell r="F99">
            <v>2.8571428571428598E-2</v>
          </cell>
          <cell r="G99">
            <v>1</v>
          </cell>
          <cell r="H99" t="str">
            <v>00:03:49</v>
          </cell>
          <cell r="I99" t="str">
            <v>00:00:00</v>
          </cell>
          <cell r="J99" t="str">
            <v>00:00:13</v>
          </cell>
        </row>
        <row r="100">
          <cell r="A100" t="str">
            <v>Del_Ravi Kumar (1008610)</v>
          </cell>
          <cell r="B100">
            <v>57</v>
          </cell>
          <cell r="C100">
            <v>4.7619047619047603E-2</v>
          </cell>
          <cell r="D100">
            <v>0</v>
          </cell>
          <cell r="E100">
            <v>0</v>
          </cell>
          <cell r="F100">
            <v>0.119047619047619</v>
          </cell>
          <cell r="G100">
            <v>0</v>
          </cell>
          <cell r="H100" t="str">
            <v>00:04:15</v>
          </cell>
          <cell r="I100" t="str">
            <v>00:00:40</v>
          </cell>
          <cell r="J100" t="str">
            <v>00:00:08</v>
          </cell>
        </row>
        <row r="101">
          <cell r="A101" t="str">
            <v>Del_Ravinder Kaur (1008611)</v>
          </cell>
          <cell r="B101">
            <v>58</v>
          </cell>
          <cell r="C101">
            <v>4.7619047619047603E-2</v>
          </cell>
          <cell r="D101">
            <v>0</v>
          </cell>
          <cell r="E101">
            <v>0</v>
          </cell>
          <cell r="F101">
            <v>0.119047619047619</v>
          </cell>
          <cell r="G101">
            <v>0</v>
          </cell>
          <cell r="H101" t="str">
            <v>00:04:15</v>
          </cell>
          <cell r="I101" t="str">
            <v>00:00:40</v>
          </cell>
          <cell r="J101" t="str">
            <v>00:00:08</v>
          </cell>
        </row>
        <row r="102">
          <cell r="A102" t="str">
            <v>Del_Rekha Agarwal (1008612)</v>
          </cell>
          <cell r="B102">
            <v>59</v>
          </cell>
          <cell r="C102">
            <v>2.9850746268656699E-2</v>
          </cell>
          <cell r="D102">
            <v>0</v>
          </cell>
          <cell r="E102">
            <v>0</v>
          </cell>
          <cell r="F102">
            <v>0.104477611940299</v>
          </cell>
          <cell r="G102">
            <v>0</v>
          </cell>
          <cell r="H102" t="str">
            <v>00:03:55</v>
          </cell>
          <cell r="I102" t="str">
            <v>00:00:02</v>
          </cell>
          <cell r="J102" t="str">
            <v>00:00:14</v>
          </cell>
        </row>
        <row r="103">
          <cell r="A103" t="str">
            <v>Del_Rekha Gupta (1008613)</v>
          </cell>
          <cell r="B103">
            <v>60</v>
          </cell>
          <cell r="C103">
            <v>2.9850746268656699E-2</v>
          </cell>
          <cell r="D103">
            <v>0</v>
          </cell>
          <cell r="E103">
            <v>0</v>
          </cell>
          <cell r="F103">
            <v>0.104477611940299</v>
          </cell>
          <cell r="G103">
            <v>0</v>
          </cell>
          <cell r="H103" t="str">
            <v>00:03:55</v>
          </cell>
          <cell r="I103" t="str">
            <v>00:00:02</v>
          </cell>
          <cell r="J103" t="str">
            <v>00:00:14</v>
          </cell>
        </row>
        <row r="104">
          <cell r="A104" t="str">
            <v>Del_Rekha Jain  (1008614)</v>
          </cell>
          <cell r="B104">
            <v>61</v>
          </cell>
          <cell r="C104">
            <v>2.7777777777777801E-2</v>
          </cell>
          <cell r="D104">
            <v>0</v>
          </cell>
          <cell r="E104">
            <v>0</v>
          </cell>
          <cell r="F104">
            <v>8.3333333333333301E-2</v>
          </cell>
          <cell r="G104">
            <v>0</v>
          </cell>
          <cell r="H104" t="str">
            <v>00:03:48</v>
          </cell>
          <cell r="I104" t="str">
            <v>00:00:02</v>
          </cell>
          <cell r="J104" t="str">
            <v>00:00:06</v>
          </cell>
        </row>
        <row r="105">
          <cell r="A105" t="str">
            <v>Del_Renu Pratap (1008615)</v>
          </cell>
          <cell r="B105">
            <v>62</v>
          </cell>
          <cell r="C105">
            <v>2.7777777777777801E-2</v>
          </cell>
          <cell r="D105">
            <v>0</v>
          </cell>
          <cell r="E105">
            <v>0</v>
          </cell>
          <cell r="F105">
            <v>8.3333333333333301E-2</v>
          </cell>
          <cell r="G105">
            <v>0</v>
          </cell>
          <cell r="H105" t="str">
            <v>00:03:48</v>
          </cell>
          <cell r="I105" t="str">
            <v>00:00:02</v>
          </cell>
          <cell r="J105" t="str">
            <v>00:00:06</v>
          </cell>
        </row>
        <row r="106">
          <cell r="A106" t="str">
            <v>Del_Ritu Bhatnagar (1008616)</v>
          </cell>
          <cell r="B106">
            <v>63</v>
          </cell>
          <cell r="C106">
            <v>0.108108108108108</v>
          </cell>
          <cell r="D106">
            <v>0</v>
          </cell>
          <cell r="E106">
            <v>0</v>
          </cell>
          <cell r="F106">
            <v>0.162162162162162</v>
          </cell>
          <cell r="G106">
            <v>8.3333333333333301E-2</v>
          </cell>
          <cell r="H106" t="str">
            <v>00:03:44</v>
          </cell>
          <cell r="I106" t="str">
            <v>00:00:11</v>
          </cell>
          <cell r="J106" t="str">
            <v>00:00:09</v>
          </cell>
        </row>
        <row r="107">
          <cell r="A107" t="str">
            <v>Del_Rohit Nishchal (1008617)</v>
          </cell>
          <cell r="B107">
            <v>64</v>
          </cell>
          <cell r="C107">
            <v>0.108108108108108</v>
          </cell>
          <cell r="D107">
            <v>0</v>
          </cell>
          <cell r="E107">
            <v>0</v>
          </cell>
          <cell r="F107">
            <v>0.162162162162162</v>
          </cell>
          <cell r="G107">
            <v>8.3333333333333301E-2</v>
          </cell>
          <cell r="H107" t="str">
            <v>00:03:44</v>
          </cell>
          <cell r="I107" t="str">
            <v>00:00:11</v>
          </cell>
          <cell r="J107" t="str">
            <v>00:00:09</v>
          </cell>
        </row>
        <row r="108">
          <cell r="A108" t="str">
            <v>Del_Roli Bhatnagar (1008618)</v>
          </cell>
          <cell r="B108">
            <v>65</v>
          </cell>
          <cell r="C108">
            <v>4.8387096774193498E-2</v>
          </cell>
          <cell r="D108">
            <v>0</v>
          </cell>
          <cell r="E108">
            <v>0</v>
          </cell>
          <cell r="F108">
            <v>9.6774193548387094E-2</v>
          </cell>
          <cell r="G108">
            <v>0</v>
          </cell>
          <cell r="H108" t="str">
            <v>00:04:25</v>
          </cell>
          <cell r="I108" t="str">
            <v>00:00:00</v>
          </cell>
          <cell r="J108" t="str">
            <v>00:00:29</v>
          </cell>
        </row>
        <row r="109">
          <cell r="A109" t="str">
            <v>Del_Roma Rastogi (1008619)</v>
          </cell>
          <cell r="B109">
            <v>66</v>
          </cell>
          <cell r="C109">
            <v>4.8387096774193498E-2</v>
          </cell>
          <cell r="D109">
            <v>0</v>
          </cell>
          <cell r="E109">
            <v>0</v>
          </cell>
          <cell r="F109">
            <v>9.6774193548387094E-2</v>
          </cell>
          <cell r="G109">
            <v>0</v>
          </cell>
          <cell r="H109" t="str">
            <v>00:04:25</v>
          </cell>
          <cell r="I109" t="str">
            <v>00:00:00</v>
          </cell>
          <cell r="J109" t="str">
            <v>00:00:29</v>
          </cell>
        </row>
        <row r="110">
          <cell r="A110" t="str">
            <v>Del_Roohi Haider (1008620)</v>
          </cell>
          <cell r="B110">
            <v>67</v>
          </cell>
          <cell r="C110">
            <v>0</v>
          </cell>
          <cell r="D110">
            <v>0</v>
          </cell>
          <cell r="E110">
            <v>0</v>
          </cell>
          <cell r="F110">
            <v>0</v>
          </cell>
          <cell r="G110">
            <v>0</v>
          </cell>
          <cell r="H110" t="str">
            <v>00:03:32</v>
          </cell>
          <cell r="J110" t="str">
            <v>00:00:19</v>
          </cell>
        </row>
        <row r="111">
          <cell r="A111" t="str">
            <v>Del_Sajid Naqvi (1008621)</v>
          </cell>
          <cell r="B111">
            <v>68</v>
          </cell>
          <cell r="C111">
            <v>0</v>
          </cell>
          <cell r="D111">
            <v>0</v>
          </cell>
          <cell r="E111">
            <v>0</v>
          </cell>
          <cell r="F111">
            <v>0</v>
          </cell>
          <cell r="G111">
            <v>0</v>
          </cell>
          <cell r="H111" t="str">
            <v>00:03:32</v>
          </cell>
          <cell r="J111" t="str">
            <v>00:00:19</v>
          </cell>
        </row>
        <row r="112">
          <cell r="A112" t="str">
            <v>Del_Salim (1008622)</v>
          </cell>
          <cell r="B112">
            <v>69</v>
          </cell>
          <cell r="C112">
            <v>5.2631578947368397E-2</v>
          </cell>
          <cell r="D112">
            <v>0</v>
          </cell>
          <cell r="E112">
            <v>0</v>
          </cell>
          <cell r="F112">
            <v>0.144736842105263</v>
          </cell>
          <cell r="G112">
            <v>0.63636363636363602</v>
          </cell>
          <cell r="H112" t="str">
            <v>00:03:27</v>
          </cell>
          <cell r="I112" t="str">
            <v>00:00:00</v>
          </cell>
          <cell r="J112" t="str">
            <v>00:00:05</v>
          </cell>
        </row>
        <row r="113">
          <cell r="A113" t="str">
            <v>Del_Sanjay Hire (1008623)</v>
          </cell>
          <cell r="B113">
            <v>70</v>
          </cell>
          <cell r="C113">
            <v>5.2631578947368397E-2</v>
          </cell>
          <cell r="D113">
            <v>0</v>
          </cell>
          <cell r="E113">
            <v>0</v>
          </cell>
          <cell r="F113">
            <v>0.144736842105263</v>
          </cell>
          <cell r="G113">
            <v>0.63636363636363602</v>
          </cell>
          <cell r="H113" t="str">
            <v>00:03:27</v>
          </cell>
          <cell r="I113" t="str">
            <v>00:00:00</v>
          </cell>
          <cell r="J113" t="str">
            <v>00:00:05</v>
          </cell>
        </row>
        <row r="114">
          <cell r="A114" t="str">
            <v>Del_Sanjiv Subherwal (1008624)</v>
          </cell>
          <cell r="B114">
            <v>71</v>
          </cell>
          <cell r="C114">
            <v>2.7777777777777801E-2</v>
          </cell>
          <cell r="D114">
            <v>0</v>
          </cell>
          <cell r="E114">
            <v>1.3698630136986301E-2</v>
          </cell>
          <cell r="F114">
            <v>4.1666666666666699E-2</v>
          </cell>
          <cell r="G114">
            <v>0</v>
          </cell>
          <cell r="H114" t="str">
            <v>00:03:31</v>
          </cell>
          <cell r="I114" t="str">
            <v>00:00:08</v>
          </cell>
          <cell r="J114" t="str">
            <v>00:00:11</v>
          </cell>
        </row>
        <row r="115">
          <cell r="A115" t="str">
            <v>Del_Sanju Ramdas (1008625)</v>
          </cell>
          <cell r="B115">
            <v>72</v>
          </cell>
          <cell r="C115">
            <v>2.7777777777777801E-2</v>
          </cell>
          <cell r="D115">
            <v>0</v>
          </cell>
          <cell r="E115">
            <v>1.3698630136986301E-2</v>
          </cell>
          <cell r="F115">
            <v>4.1666666666666699E-2</v>
          </cell>
          <cell r="G115">
            <v>0</v>
          </cell>
          <cell r="H115" t="str">
            <v>00:03:31</v>
          </cell>
          <cell r="I115" t="str">
            <v>00:00:08</v>
          </cell>
          <cell r="J115" t="str">
            <v>00:00:11</v>
          </cell>
        </row>
        <row r="116">
          <cell r="A116" t="str">
            <v>Del_Santosh Kumar (1008626)</v>
          </cell>
          <cell r="B116">
            <v>73</v>
          </cell>
          <cell r="C116">
            <v>3.0769230769230799E-2</v>
          </cell>
          <cell r="D116">
            <v>0</v>
          </cell>
          <cell r="E116">
            <v>2.9850746268656699E-2</v>
          </cell>
          <cell r="F116">
            <v>7.69230769230769E-2</v>
          </cell>
          <cell r="G116">
            <v>0.2</v>
          </cell>
          <cell r="H116" t="str">
            <v>00:04:03</v>
          </cell>
          <cell r="I116" t="str">
            <v>00:00:01</v>
          </cell>
          <cell r="J116" t="str">
            <v>00:00:10</v>
          </cell>
        </row>
        <row r="117">
          <cell r="A117" t="str">
            <v>Del_Santosh Kumar (1008627)</v>
          </cell>
          <cell r="B117">
            <v>74</v>
          </cell>
          <cell r="C117">
            <v>3.0769230769230799E-2</v>
          </cell>
          <cell r="D117">
            <v>0</v>
          </cell>
          <cell r="E117">
            <v>2.9850746268656699E-2</v>
          </cell>
          <cell r="F117">
            <v>7.69230769230769E-2</v>
          </cell>
          <cell r="G117">
            <v>0.2</v>
          </cell>
          <cell r="H117" t="str">
            <v>00:04:03</v>
          </cell>
          <cell r="I117" t="str">
            <v>00:00:01</v>
          </cell>
          <cell r="J117" t="str">
            <v>00:00:10</v>
          </cell>
        </row>
        <row r="118">
          <cell r="A118" t="str">
            <v>Del_Santosh Kumar (1008628)</v>
          </cell>
          <cell r="B118">
            <v>75</v>
          </cell>
          <cell r="C118">
            <v>0.13636363636363599</v>
          </cell>
          <cell r="D118">
            <v>0</v>
          </cell>
          <cell r="E118">
            <v>0</v>
          </cell>
          <cell r="F118">
            <v>0.204545454545455</v>
          </cell>
          <cell r="G118">
            <v>0</v>
          </cell>
          <cell r="H118" t="str">
            <v>00:03:58</v>
          </cell>
          <cell r="I118" t="str">
            <v>00:01:03</v>
          </cell>
          <cell r="J118" t="str">
            <v>00:00:07</v>
          </cell>
        </row>
        <row r="119">
          <cell r="A119" t="str">
            <v>Del_Sapna Sharma (1008629)</v>
          </cell>
          <cell r="B119">
            <v>76</v>
          </cell>
          <cell r="C119">
            <v>0.13636363636363599</v>
          </cell>
          <cell r="D119">
            <v>0</v>
          </cell>
          <cell r="E119">
            <v>0</v>
          </cell>
          <cell r="F119">
            <v>0.204545454545455</v>
          </cell>
          <cell r="G119">
            <v>0</v>
          </cell>
          <cell r="H119" t="str">
            <v>00:03:58</v>
          </cell>
          <cell r="I119" t="str">
            <v>00:01:03</v>
          </cell>
          <cell r="J119" t="str">
            <v>00:00:07</v>
          </cell>
        </row>
        <row r="120">
          <cell r="A120" t="str">
            <v>Del_Saroj Parita (1008630)</v>
          </cell>
          <cell r="B120">
            <v>77</v>
          </cell>
          <cell r="C120">
            <v>1.63934426229508E-2</v>
          </cell>
          <cell r="D120">
            <v>0</v>
          </cell>
          <cell r="E120">
            <v>0</v>
          </cell>
          <cell r="F120">
            <v>8.1967213114754106E-2</v>
          </cell>
          <cell r="G120">
            <v>0</v>
          </cell>
          <cell r="H120" t="str">
            <v>00:03:55</v>
          </cell>
          <cell r="I120" t="str">
            <v>00:00:03</v>
          </cell>
          <cell r="J120" t="str">
            <v>00:00:06</v>
          </cell>
        </row>
        <row r="121">
          <cell r="A121" t="str">
            <v>Del_Shailaja Kamal (1008631)</v>
          </cell>
          <cell r="B121">
            <v>78</v>
          </cell>
          <cell r="C121">
            <v>1.63934426229508E-2</v>
          </cell>
          <cell r="D121">
            <v>0</v>
          </cell>
          <cell r="E121">
            <v>0</v>
          </cell>
          <cell r="F121">
            <v>8.1967213114754106E-2</v>
          </cell>
          <cell r="G121">
            <v>0</v>
          </cell>
          <cell r="H121" t="str">
            <v>00:03:55</v>
          </cell>
          <cell r="I121" t="str">
            <v>00:00:03</v>
          </cell>
          <cell r="J121" t="str">
            <v>00:00:06</v>
          </cell>
        </row>
        <row r="122">
          <cell r="A122" t="str">
            <v>Del_Shailendra Barge (1008632)</v>
          </cell>
          <cell r="B122">
            <v>79</v>
          </cell>
          <cell r="C122">
            <v>0.13043478260869601</v>
          </cell>
          <cell r="D122">
            <v>0</v>
          </cell>
          <cell r="E122">
            <v>0</v>
          </cell>
          <cell r="F122">
            <v>0.19565217391304299</v>
          </cell>
          <cell r="G122">
            <v>0</v>
          </cell>
          <cell r="H122" t="str">
            <v>00:04:20</v>
          </cell>
          <cell r="I122" t="str">
            <v>00:00:00</v>
          </cell>
          <cell r="J122" t="str">
            <v>00:00:11</v>
          </cell>
        </row>
        <row r="123">
          <cell r="A123" t="str">
            <v>Del_Shankar Attendant (1008633)</v>
          </cell>
          <cell r="B123">
            <v>80</v>
          </cell>
          <cell r="C123">
            <v>0.13043478260869601</v>
          </cell>
          <cell r="D123">
            <v>0</v>
          </cell>
          <cell r="E123">
            <v>0</v>
          </cell>
          <cell r="F123">
            <v>0.19565217391304299</v>
          </cell>
          <cell r="G123">
            <v>0</v>
          </cell>
          <cell r="H123" t="str">
            <v>00:04:20</v>
          </cell>
          <cell r="I123" t="str">
            <v>00:00:00</v>
          </cell>
          <cell r="J123" t="str">
            <v>00:00:11</v>
          </cell>
        </row>
        <row r="124">
          <cell r="A124" t="str">
            <v>Del_Shashikant Tiwari (1008634)</v>
          </cell>
          <cell r="B124">
            <v>81</v>
          </cell>
          <cell r="C124">
            <v>6.5573770491803296E-2</v>
          </cell>
          <cell r="D124">
            <v>0</v>
          </cell>
          <cell r="E124">
            <v>0</v>
          </cell>
          <cell r="F124">
            <v>9.8360655737704902E-2</v>
          </cell>
          <cell r="G124">
            <v>0</v>
          </cell>
          <cell r="H124" t="str">
            <v>00:04:00</v>
          </cell>
          <cell r="I124" t="str">
            <v>00:00:09</v>
          </cell>
          <cell r="J124" t="str">
            <v>00:00:08</v>
          </cell>
        </row>
        <row r="125">
          <cell r="A125" t="str">
            <v>Del_Sheeba Joseph (1008635)</v>
          </cell>
          <cell r="B125">
            <v>82</v>
          </cell>
          <cell r="C125">
            <v>6.5573770491803296E-2</v>
          </cell>
          <cell r="D125">
            <v>0</v>
          </cell>
          <cell r="E125">
            <v>0</v>
          </cell>
          <cell r="F125">
            <v>9.8360655737704902E-2</v>
          </cell>
          <cell r="G125">
            <v>0</v>
          </cell>
          <cell r="H125" t="str">
            <v>00:04:00</v>
          </cell>
          <cell r="I125" t="str">
            <v>00:00:09</v>
          </cell>
          <cell r="J125" t="str">
            <v>00:00:08</v>
          </cell>
        </row>
        <row r="126">
          <cell r="A126" t="str">
            <v>Del_Sheena Joseph (1008636)</v>
          </cell>
          <cell r="B126">
            <v>83</v>
          </cell>
          <cell r="C126">
            <v>0.11111111111111099</v>
          </cell>
          <cell r="D126">
            <v>0</v>
          </cell>
          <cell r="E126">
            <v>0</v>
          </cell>
          <cell r="F126">
            <v>0.126984126984127</v>
          </cell>
          <cell r="G126">
            <v>0</v>
          </cell>
          <cell r="H126" t="str">
            <v>00:03:27</v>
          </cell>
          <cell r="I126" t="str">
            <v>00:00:11</v>
          </cell>
          <cell r="J126" t="str">
            <v>00:00:15</v>
          </cell>
        </row>
        <row r="127">
          <cell r="A127" t="str">
            <v>Del_Shephali Jain (1008637)</v>
          </cell>
          <cell r="B127">
            <v>84</v>
          </cell>
          <cell r="C127">
            <v>0.11111111111111099</v>
          </cell>
          <cell r="D127">
            <v>0</v>
          </cell>
          <cell r="E127">
            <v>0</v>
          </cell>
          <cell r="F127">
            <v>0.126984126984127</v>
          </cell>
          <cell r="G127">
            <v>0</v>
          </cell>
          <cell r="H127" t="str">
            <v>00:03:27</v>
          </cell>
          <cell r="I127" t="str">
            <v>00:00:11</v>
          </cell>
          <cell r="J127" t="str">
            <v>00:00:15</v>
          </cell>
        </row>
        <row r="128">
          <cell r="A128" t="str">
            <v>Del_Shivji Prasad (1008638)</v>
          </cell>
          <cell r="B128">
            <v>85</v>
          </cell>
          <cell r="C128">
            <v>5.4545454545454501E-2</v>
          </cell>
          <cell r="D128">
            <v>0</v>
          </cell>
          <cell r="E128">
            <v>0</v>
          </cell>
          <cell r="F128">
            <v>0.145454545454545</v>
          </cell>
          <cell r="G128">
            <v>0.125</v>
          </cell>
          <cell r="H128" t="str">
            <v>00:03:46</v>
          </cell>
          <cell r="I128" t="str">
            <v>00:00:51</v>
          </cell>
          <cell r="J128" t="str">
            <v>00:00:06</v>
          </cell>
        </row>
        <row r="129">
          <cell r="A129" t="str">
            <v>Del_Shubhanjali Joshi (1008639)</v>
          </cell>
          <cell r="B129">
            <v>86</v>
          </cell>
          <cell r="C129">
            <v>5.4545454545454501E-2</v>
          </cell>
          <cell r="D129">
            <v>0</v>
          </cell>
          <cell r="E129">
            <v>0</v>
          </cell>
          <cell r="F129">
            <v>0.145454545454545</v>
          </cell>
          <cell r="G129">
            <v>0.125</v>
          </cell>
          <cell r="H129" t="str">
            <v>00:03:46</v>
          </cell>
          <cell r="I129" t="str">
            <v>00:00:51</v>
          </cell>
          <cell r="J129" t="str">
            <v>00:00:06</v>
          </cell>
        </row>
        <row r="130">
          <cell r="A130" t="str">
            <v>Del_Shyamal Malakar (1008640)</v>
          </cell>
          <cell r="B130">
            <v>87</v>
          </cell>
          <cell r="C130">
            <v>0.102040816326531</v>
          </cell>
          <cell r="D130">
            <v>0</v>
          </cell>
          <cell r="E130">
            <v>0.02</v>
          </cell>
          <cell r="F130">
            <v>0.102040816326531</v>
          </cell>
          <cell r="G130">
            <v>0</v>
          </cell>
          <cell r="H130" t="str">
            <v>00:03:53</v>
          </cell>
          <cell r="I130" t="str">
            <v>00:00:00</v>
          </cell>
          <cell r="J130" t="str">
            <v>00:00:04</v>
          </cell>
        </row>
        <row r="131">
          <cell r="A131" t="str">
            <v>Del_Sneh Khan (1008641)</v>
          </cell>
          <cell r="B131">
            <v>88</v>
          </cell>
          <cell r="C131">
            <v>0.102040816326531</v>
          </cell>
          <cell r="D131">
            <v>0</v>
          </cell>
          <cell r="E131">
            <v>0.02</v>
          </cell>
          <cell r="F131">
            <v>0.102040816326531</v>
          </cell>
          <cell r="G131">
            <v>0</v>
          </cell>
          <cell r="H131" t="str">
            <v>00:03:53</v>
          </cell>
          <cell r="I131" t="str">
            <v>00:00:00</v>
          </cell>
          <cell r="J131" t="str">
            <v>00:00:04</v>
          </cell>
        </row>
        <row r="132">
          <cell r="A132" t="str">
            <v>Del_Sonaram Munda (1008642)</v>
          </cell>
          <cell r="B132">
            <v>89</v>
          </cell>
          <cell r="C132">
            <v>0.1</v>
          </cell>
          <cell r="D132">
            <v>0</v>
          </cell>
          <cell r="E132">
            <v>0</v>
          </cell>
          <cell r="F132">
            <v>0.1</v>
          </cell>
          <cell r="G132">
            <v>0</v>
          </cell>
          <cell r="H132" t="str">
            <v>00:04:31</v>
          </cell>
          <cell r="I132" t="str">
            <v>00:00:00</v>
          </cell>
          <cell r="J132" t="str">
            <v>00:00:12</v>
          </cell>
        </row>
        <row r="133">
          <cell r="A133" t="str">
            <v>Del_Sudama Kumar (1008643)</v>
          </cell>
          <cell r="B133">
            <v>90</v>
          </cell>
          <cell r="C133">
            <v>0.1</v>
          </cell>
          <cell r="D133">
            <v>0</v>
          </cell>
          <cell r="E133">
            <v>0</v>
          </cell>
          <cell r="F133">
            <v>0.1</v>
          </cell>
          <cell r="G133">
            <v>0</v>
          </cell>
          <cell r="H133" t="str">
            <v>00:04:31</v>
          </cell>
          <cell r="I133" t="str">
            <v>00:00:00</v>
          </cell>
          <cell r="J133" t="str">
            <v>00:00:12</v>
          </cell>
        </row>
        <row r="134">
          <cell r="A134" t="str">
            <v>Del_Sudhir Kumar (1008644)</v>
          </cell>
          <cell r="B134">
            <v>91</v>
          </cell>
          <cell r="C134">
            <v>3.3898305084745797E-2</v>
          </cell>
          <cell r="D134">
            <v>0</v>
          </cell>
          <cell r="E134">
            <v>0</v>
          </cell>
          <cell r="F134">
            <v>0.152542372881356</v>
          </cell>
          <cell r="G134">
            <v>0.11111111111111099</v>
          </cell>
          <cell r="H134" t="str">
            <v>00:04:35</v>
          </cell>
          <cell r="I134" t="str">
            <v>00:00:32</v>
          </cell>
          <cell r="J134" t="str">
            <v>00:00:04</v>
          </cell>
        </row>
        <row r="135">
          <cell r="A135" t="str">
            <v>Del_Sunil Kumar (1008645)</v>
          </cell>
          <cell r="B135">
            <v>92</v>
          </cell>
          <cell r="C135">
            <v>3.3898305084745797E-2</v>
          </cell>
          <cell r="D135">
            <v>0</v>
          </cell>
          <cell r="E135">
            <v>0</v>
          </cell>
          <cell r="F135">
            <v>0.152542372881356</v>
          </cell>
          <cell r="G135">
            <v>0.11111111111111099</v>
          </cell>
          <cell r="H135" t="str">
            <v>00:04:35</v>
          </cell>
          <cell r="I135" t="str">
            <v>00:00:32</v>
          </cell>
          <cell r="J135" t="str">
            <v>00:00:04</v>
          </cell>
        </row>
        <row r="136">
          <cell r="A136" t="str">
            <v>Del_Sunil Kumar (1008646)</v>
          </cell>
          <cell r="B136">
            <v>93</v>
          </cell>
          <cell r="C136">
            <v>6.3829787234042604E-2</v>
          </cell>
          <cell r="D136">
            <v>0</v>
          </cell>
          <cell r="E136">
            <v>0</v>
          </cell>
          <cell r="F136">
            <v>0.19148936170212799</v>
          </cell>
          <cell r="G136">
            <v>0</v>
          </cell>
          <cell r="H136" t="str">
            <v>00:05:00</v>
          </cell>
          <cell r="I136" t="str">
            <v>00:02:17</v>
          </cell>
          <cell r="J136" t="str">
            <v>00:00:26</v>
          </cell>
        </row>
        <row r="137">
          <cell r="A137" t="str">
            <v>Del_Sunita Chawla (1008647)</v>
          </cell>
          <cell r="B137">
            <v>94</v>
          </cell>
          <cell r="C137">
            <v>6.3829787234042604E-2</v>
          </cell>
          <cell r="D137">
            <v>0</v>
          </cell>
          <cell r="E137">
            <v>0</v>
          </cell>
          <cell r="F137">
            <v>0.19148936170212799</v>
          </cell>
          <cell r="G137">
            <v>0</v>
          </cell>
          <cell r="H137" t="str">
            <v>00:05:00</v>
          </cell>
          <cell r="I137" t="str">
            <v>00:02:17</v>
          </cell>
          <cell r="J137" t="str">
            <v>00:00:26</v>
          </cell>
        </row>
        <row r="138">
          <cell r="A138" t="str">
            <v>Del_Sunita Madnani (1008648)</v>
          </cell>
          <cell r="B138">
            <v>95</v>
          </cell>
          <cell r="C138">
            <v>0.118421052631579</v>
          </cell>
          <cell r="D138">
            <v>0</v>
          </cell>
          <cell r="E138">
            <v>0</v>
          </cell>
          <cell r="F138">
            <v>0.23684210526315799</v>
          </cell>
          <cell r="G138">
            <v>5.5555555555555601E-2</v>
          </cell>
          <cell r="H138" t="str">
            <v>00:03:32</v>
          </cell>
          <cell r="I138" t="str">
            <v>00:00:23</v>
          </cell>
          <cell r="J138" t="str">
            <v>00:00:06</v>
          </cell>
        </row>
        <row r="139">
          <cell r="A139" t="str">
            <v>Del_Surendra Kumar (1008649)</v>
          </cell>
          <cell r="B139">
            <v>96</v>
          </cell>
          <cell r="C139">
            <v>0.118421052631579</v>
          </cell>
          <cell r="D139">
            <v>0</v>
          </cell>
          <cell r="E139">
            <v>0</v>
          </cell>
          <cell r="F139">
            <v>0.23684210526315799</v>
          </cell>
          <cell r="G139">
            <v>5.5555555555555601E-2</v>
          </cell>
          <cell r="H139" t="str">
            <v>00:03:32</v>
          </cell>
          <cell r="I139" t="str">
            <v>00:00:23</v>
          </cell>
          <cell r="J139" t="str">
            <v>00:00:06</v>
          </cell>
        </row>
        <row r="140">
          <cell r="A140" t="str">
            <v>Del_Surendranath Thakur (1008650)</v>
          </cell>
          <cell r="B140">
            <v>97</v>
          </cell>
          <cell r="C140">
            <v>7.1428571428571397E-2</v>
          </cell>
          <cell r="D140">
            <v>0</v>
          </cell>
          <cell r="E140">
            <v>0</v>
          </cell>
          <cell r="F140">
            <v>0.128571428571428</v>
          </cell>
          <cell r="G140">
            <v>0.22222222222222199</v>
          </cell>
          <cell r="H140" t="str">
            <v>00:04:04</v>
          </cell>
          <cell r="I140" t="str">
            <v>00:00:35</v>
          </cell>
          <cell r="J140" t="str">
            <v>00:00:06</v>
          </cell>
        </row>
        <row r="141">
          <cell r="A141" t="str">
            <v>Del_Sushma Khandelwal (1008651)</v>
          </cell>
          <cell r="B141">
            <v>98</v>
          </cell>
          <cell r="C141">
            <v>7.1428571428571397E-2</v>
          </cell>
          <cell r="D141">
            <v>0</v>
          </cell>
          <cell r="E141">
            <v>0</v>
          </cell>
          <cell r="F141">
            <v>0.128571428571428</v>
          </cell>
          <cell r="G141">
            <v>0.22222222222222199</v>
          </cell>
          <cell r="H141" t="str">
            <v>00:04:04</v>
          </cell>
          <cell r="I141" t="str">
            <v>00:00:35</v>
          </cell>
          <cell r="J141" t="str">
            <v>00:00:06</v>
          </cell>
        </row>
        <row r="142">
          <cell r="A142" t="str">
            <v>Del_Swarnlata Borse (1008652)</v>
          </cell>
          <cell r="B142">
            <v>99</v>
          </cell>
          <cell r="C142">
            <v>0</v>
          </cell>
          <cell r="D142">
            <v>0</v>
          </cell>
          <cell r="E142">
            <v>0</v>
          </cell>
          <cell r="F142">
            <v>0.04</v>
          </cell>
          <cell r="G142">
            <v>0</v>
          </cell>
          <cell r="H142" t="str">
            <v>00:03:28</v>
          </cell>
          <cell r="I142" t="str">
            <v>00:01:08</v>
          </cell>
          <cell r="J142" t="str">
            <v>00:00:06</v>
          </cell>
        </row>
        <row r="143">
          <cell r="A143" t="str">
            <v>Del_Syed Naved (1008653)</v>
          </cell>
          <cell r="B143">
            <v>100</v>
          </cell>
          <cell r="C143">
            <v>0</v>
          </cell>
          <cell r="D143">
            <v>0</v>
          </cell>
          <cell r="E143">
            <v>0</v>
          </cell>
          <cell r="F143">
            <v>0.04</v>
          </cell>
          <cell r="G143">
            <v>0</v>
          </cell>
          <cell r="H143" t="str">
            <v>00:03:28</v>
          </cell>
          <cell r="I143" t="str">
            <v>00:01:08</v>
          </cell>
          <cell r="J143" t="str">
            <v>00:00:06</v>
          </cell>
        </row>
        <row r="144">
          <cell r="A144" t="str">
            <v>Del_Syed Saqib (1008654)</v>
          </cell>
          <cell r="B144">
            <v>101</v>
          </cell>
          <cell r="C144">
            <v>3.1746031746031703E-2</v>
          </cell>
          <cell r="D144">
            <v>0</v>
          </cell>
          <cell r="E144">
            <v>0</v>
          </cell>
          <cell r="F144">
            <v>0.126984126984127</v>
          </cell>
          <cell r="G144">
            <v>0</v>
          </cell>
          <cell r="H144" t="str">
            <v>00:03:42</v>
          </cell>
          <cell r="I144" t="str">
            <v>00:00:49</v>
          </cell>
          <cell r="J144" t="str">
            <v>00:00:25</v>
          </cell>
        </row>
        <row r="145">
          <cell r="A145" t="str">
            <v>Del_Syed Sohail (1008655)</v>
          </cell>
          <cell r="B145">
            <v>102</v>
          </cell>
          <cell r="C145">
            <v>3.1746031746031703E-2</v>
          </cell>
          <cell r="D145">
            <v>0</v>
          </cell>
          <cell r="E145">
            <v>0</v>
          </cell>
          <cell r="F145">
            <v>0.126984126984127</v>
          </cell>
          <cell r="G145">
            <v>0</v>
          </cell>
          <cell r="H145" t="str">
            <v>00:03:42</v>
          </cell>
          <cell r="I145" t="str">
            <v>00:00:49</v>
          </cell>
          <cell r="J145" t="str">
            <v>00:00:25</v>
          </cell>
        </row>
        <row r="146">
          <cell r="A146" t="str">
            <v>Del_System Operator (1008656)</v>
          </cell>
          <cell r="B146">
            <v>103</v>
          </cell>
          <cell r="C146">
            <v>0</v>
          </cell>
          <cell r="D146">
            <v>0</v>
          </cell>
          <cell r="E146">
            <v>0</v>
          </cell>
          <cell r="F146">
            <v>4.8387096774193498E-2</v>
          </cell>
          <cell r="G146">
            <v>0</v>
          </cell>
          <cell r="H146" t="str">
            <v>00:03:48</v>
          </cell>
          <cell r="I146" t="str">
            <v>00:00:00</v>
          </cell>
          <cell r="J146" t="str">
            <v>00:00:06</v>
          </cell>
        </row>
        <row r="147">
          <cell r="A147" t="str">
            <v>Del_Tahira Qureshi (1008657)</v>
          </cell>
          <cell r="B147">
            <v>104</v>
          </cell>
          <cell r="C147">
            <v>0</v>
          </cell>
          <cell r="D147">
            <v>0</v>
          </cell>
          <cell r="E147">
            <v>0</v>
          </cell>
          <cell r="F147">
            <v>4.8387096774193498E-2</v>
          </cell>
          <cell r="G147">
            <v>0</v>
          </cell>
          <cell r="H147" t="str">
            <v>00:03:48</v>
          </cell>
          <cell r="I147" t="str">
            <v>00:00:00</v>
          </cell>
          <cell r="J147" t="str">
            <v>00:00:06</v>
          </cell>
        </row>
        <row r="148">
          <cell r="A148" t="str">
            <v>Del_Tapas Chakraborty (1008658)</v>
          </cell>
          <cell r="B148">
            <v>105</v>
          </cell>
          <cell r="C148">
            <v>3.2786885245901599E-2</v>
          </cell>
          <cell r="D148">
            <v>0</v>
          </cell>
          <cell r="E148">
            <v>0</v>
          </cell>
          <cell r="F148">
            <v>6.5573770491803296E-2</v>
          </cell>
          <cell r="G148">
            <v>0.25</v>
          </cell>
          <cell r="H148" t="str">
            <v>00:03:49</v>
          </cell>
          <cell r="I148" t="str">
            <v>00:00:00</v>
          </cell>
          <cell r="J148" t="str">
            <v>00:00:09</v>
          </cell>
        </row>
        <row r="149">
          <cell r="A149" t="str">
            <v>Del_Tariq Akhlaq (1008659)</v>
          </cell>
          <cell r="B149">
            <v>106</v>
          </cell>
          <cell r="C149">
            <v>3.2786885245901599E-2</v>
          </cell>
          <cell r="D149">
            <v>0</v>
          </cell>
          <cell r="E149">
            <v>0</v>
          </cell>
          <cell r="F149">
            <v>6.5573770491803296E-2</v>
          </cell>
          <cell r="G149">
            <v>0.25</v>
          </cell>
          <cell r="H149" t="str">
            <v>00:03:49</v>
          </cell>
          <cell r="I149" t="str">
            <v>00:00:00</v>
          </cell>
          <cell r="J149" t="str">
            <v>00:00:09</v>
          </cell>
        </row>
        <row r="150">
          <cell r="A150" t="str">
            <v>Del_Tasneem Khan (1008660)</v>
          </cell>
          <cell r="B150">
            <v>107</v>
          </cell>
          <cell r="C150">
            <v>3.2786885245901599E-2</v>
          </cell>
          <cell r="D150">
            <v>0</v>
          </cell>
          <cell r="E150">
            <v>0</v>
          </cell>
          <cell r="F150">
            <v>9.8360655737704902E-2</v>
          </cell>
          <cell r="G150">
            <v>0</v>
          </cell>
          <cell r="H150" t="str">
            <v>00:04:04</v>
          </cell>
          <cell r="I150" t="str">
            <v>00:00:10</v>
          </cell>
          <cell r="J150" t="str">
            <v>00:00:07</v>
          </cell>
        </row>
      </sheetData>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reak"/>
      <sheetName val="Efficiency"/>
      <sheetName val="OverAll Performance"/>
      <sheetName val="Summary"/>
      <sheetName val="DASHBOARD"/>
    </sheetNames>
    <sheetDataSet>
      <sheetData sheetId="0" refreshError="1">
        <row r="1">
          <cell r="A1" t="str">
            <v>Employee</v>
          </cell>
        </row>
      </sheetData>
      <sheetData sheetId="1" refreshError="1"/>
      <sheetData sheetId="2" refreshError="1"/>
      <sheetData sheetId="3" refreshError="1"/>
      <sheetData sheetId="4" refreshError="1"/>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pesh Ambule" refreshedDate="45821.630090856481" createdVersion="8" refreshedVersion="8" minRefreshableVersion="3" recordCount="64" xr:uid="{4EC66A31-22D8-410B-85F6-367076671E44}">
  <cacheSource type="worksheet">
    <worksheetSource ref="A1:I1048576" sheet="Sheet1"/>
  </cacheSource>
  <cacheFields count="9">
    <cacheField name="Order ID" numFmtId="0">
      <sharedItems containsBlank="1"/>
    </cacheField>
    <cacheField name="Order Date" numFmtId="0">
      <sharedItems containsNonDate="0" containsDate="1" containsString="0" containsBlank="1" minDate="2018-01-01T00:00:00" maxDate="2018-01-21T00:00:00"/>
    </cacheField>
    <cacheField name="Customer Name" numFmtId="0">
      <sharedItems containsBlank="1"/>
    </cacheField>
    <cacheField name="Country" numFmtId="0">
      <sharedItems containsBlank="1" count="8">
        <s v="Austria"/>
        <s v="Germany"/>
        <s v="Denmark"/>
        <s v="Spain"/>
        <s v="India"/>
        <s v="France"/>
        <s v="Belgium"/>
        <m/>
      </sharedItems>
    </cacheField>
    <cacheField name="State" numFmtId="0">
      <sharedItems containsBlank="1"/>
    </cacheField>
    <cacheField name="City" numFmtId="0">
      <sharedItems containsBlank="1"/>
    </cacheField>
    <cacheField name="Region" numFmtId="0">
      <sharedItems containsBlank="1" count="4">
        <s v="Central"/>
        <s v="North"/>
        <s v="South"/>
        <m/>
      </sharedItems>
    </cacheField>
    <cacheField name="Sales" numFmtId="0">
      <sharedItems containsString="0" containsBlank="1" containsNumber="1" containsInteger="1" minValue="2102" maxValue="4473"/>
    </cacheField>
    <cacheField name="Profit" numFmtId="0">
      <sharedItems containsString="0" containsBlank="1" containsNumber="1" containsInteger="1" minValue="1325" maxValue="344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pesh Ambule" refreshedDate="45821.64046412037" createdVersion="8" refreshedVersion="8" minRefreshableVersion="3" recordCount="63" xr:uid="{D26AA591-F7F0-4BC3-870D-6E4F9E1837B0}">
  <cacheSource type="worksheet">
    <worksheetSource ref="A1:I64" sheet="Sheet1"/>
  </cacheSource>
  <cacheFields count="12">
    <cacheField name="Order ID" numFmtId="0">
      <sharedItems/>
    </cacheField>
    <cacheField name="Order Date" numFmtId="14">
      <sharedItems containsSemiMixedTypes="0" containsNonDate="0" containsDate="1" containsString="0" minDate="2018-01-01T00:00:00" maxDate="2018-01-21T00:00:00" count="16">
        <d v="2018-01-01T00:00:00"/>
        <d v="2018-01-02T00:00:00"/>
        <d v="2018-01-03T00:00:00"/>
        <d v="2018-01-04T00:00:00"/>
        <d v="2018-01-05T00:00:00"/>
        <d v="2018-01-07T00:00:00"/>
        <d v="2018-01-08T00:00:00"/>
        <d v="2018-01-12T00:00:00"/>
        <d v="2018-01-13T00:00:00"/>
        <d v="2018-01-14T00:00:00"/>
        <d v="2018-01-15T00:00:00"/>
        <d v="2018-01-16T00:00:00"/>
        <d v="2018-01-17T00:00:00"/>
        <d v="2018-01-18T00:00:00"/>
        <d v="2018-01-19T00:00:00"/>
        <d v="2018-01-20T00:00:00"/>
      </sharedItems>
      <fieldGroup par="11"/>
    </cacheField>
    <cacheField name="Customer Name" numFmtId="0">
      <sharedItems count="21">
        <s v="Lani Bowers"/>
        <s v="Lana Adkins"/>
        <s v="Sopoline Noel"/>
        <s v="Abbot Horton"/>
        <s v="Hedda Livingston"/>
        <s v="Henry Hodges"/>
        <s v="Aristotle Barrett"/>
        <s v="Wendy Neal"/>
        <s v="Raymond Mckenzie"/>
        <s v="Zephr Hickman"/>
        <s v="Georgia Kane"/>
        <s v="Stella Dejesus"/>
        <s v="Dahlia Porter"/>
        <s v="Ria Foster"/>
        <s v="Kiona Moore"/>
        <s v="Guinevere Sullivan"/>
        <s v="Ingrid Barnes"/>
        <s v="Quinlan Holcomb"/>
        <s v="Blair Mccullough"/>
        <s v="Diana Guthrie"/>
        <s v="Neville Ashley"/>
      </sharedItems>
    </cacheField>
    <cacheField name="Country" numFmtId="0">
      <sharedItems count="7">
        <s v="Austria"/>
        <s v="Germany"/>
        <s v="Denmark"/>
        <s v="Spain"/>
        <s v="India"/>
        <s v="France"/>
        <s v="Belgium"/>
      </sharedItems>
    </cacheField>
    <cacheField name="State" numFmtId="0">
      <sharedItems count="10">
        <s v="Vienna"/>
        <s v="Lower Saxony"/>
        <s v="Hovedstaden"/>
        <s v="Valenciana"/>
        <s v="South Denmark"/>
        <s v="Maharashtra"/>
        <s v="Bihar"/>
        <s v="Ile-de-France"/>
        <s v="North Rhine-Westphalia"/>
        <s v="Flemish Brabant"/>
      </sharedItems>
    </cacheField>
    <cacheField name="City" numFmtId="0">
      <sharedItems count="11">
        <s v="Vienna"/>
        <s v="Langen"/>
        <s v="Copenhagen"/>
        <s v="Gandia"/>
        <s v="Esbjerg"/>
        <s v="Mumbai"/>
        <s v="Patna"/>
        <s v="Villiers-sur-Marne"/>
        <s v="Bielefeld"/>
        <s v="Leuven"/>
        <s v="Pune"/>
      </sharedItems>
    </cacheField>
    <cacheField name="Region" numFmtId="0">
      <sharedItems count="3">
        <s v="Central"/>
        <s v="North"/>
        <s v="South"/>
      </sharedItems>
    </cacheField>
    <cacheField name="Sales" numFmtId="0">
      <sharedItems containsSemiMixedTypes="0" containsString="0" containsNumber="1" containsInteger="1" minValue="2102" maxValue="4473"/>
    </cacheField>
    <cacheField name="Profit" numFmtId="0">
      <sharedItems containsSemiMixedTypes="0" containsString="0" containsNumber="1" containsInteger="1" minValue="1325" maxValue="3446"/>
    </cacheField>
    <cacheField name="Days (Order Date)" numFmtId="0" databaseField="0">
      <fieldGroup base="1">
        <rangePr groupBy="days" startDate="2018-01-01T00:00:00" endDate="2018-01-21T00:00:00"/>
        <groupItems count="368">
          <s v="&lt;01-01-20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1-01-2018"/>
        </groupItems>
      </fieldGroup>
    </cacheField>
    <cacheField name="Months (Order Date)" numFmtId="0" databaseField="0">
      <fieldGroup base="1">
        <rangePr groupBy="months" startDate="2018-01-01T00:00:00" endDate="2018-01-21T00:00:00"/>
        <groupItems count="14">
          <s v="&lt;01-01-2018"/>
          <s v="Jan"/>
          <s v="Feb"/>
          <s v="Mar"/>
          <s v="Apr"/>
          <s v="May"/>
          <s v="Jun"/>
          <s v="Jul"/>
          <s v="Aug"/>
          <s v="Sep"/>
          <s v="Oct"/>
          <s v="Nov"/>
          <s v="Dec"/>
          <s v="&gt;21-01-2018"/>
        </groupItems>
      </fieldGroup>
    </cacheField>
    <cacheField name="Quarters (Order Date)" numFmtId="0" databaseField="0">
      <fieldGroup base="1">
        <rangePr groupBy="quarters" startDate="2018-01-01T00:00:00" endDate="2018-01-21T00:00:00"/>
        <groupItems count="6">
          <s v="&lt;01-01-2018"/>
          <s v="Qtr1"/>
          <s v="Qtr2"/>
          <s v="Qtr3"/>
          <s v="Qtr4"/>
          <s v="&gt;21-01-2018"/>
        </groupItems>
      </fieldGroup>
    </cacheField>
  </cacheFields>
  <extLst>
    <ext xmlns:x14="http://schemas.microsoft.com/office/spreadsheetml/2009/9/main" uri="{725AE2AE-9491-48be-B2B4-4EB974FC3084}">
      <x14:pivotCacheDefinition pivotCacheId="45281866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pesh Ambule" refreshedDate="45821.693073263887" createdVersion="8" refreshedVersion="8" minRefreshableVersion="3" recordCount="365" xr:uid="{FC905208-EB08-4B53-9A94-11E7728E5D24}">
  <cacheSource type="worksheet">
    <worksheetSource ref="A1:I366" sheet="Sheet8"/>
  </cacheSource>
  <cacheFields count="12">
    <cacheField name="Order ID" numFmtId="0">
      <sharedItems count="323">
        <s v="KL-2018-5607031"/>
        <s v="KL-2018-5607032"/>
        <s v="KL-2018-5607033"/>
        <s v="KL-2018-5607034"/>
        <s v="KL-2018-5607035"/>
        <s v="KL-2018-5607036"/>
        <s v="KL-2018-5607037"/>
        <s v="KL-2018-5607038"/>
        <s v="KL-2018-5607039"/>
        <s v="KL-2018-5607040"/>
        <s v="KL-2018-5607041"/>
        <s v="KL-2018-5607042"/>
        <s v="KL-2018-5607043"/>
        <s v="KL-2018-5607044"/>
        <s v="KL-2018-5607045"/>
        <s v="KL-2018-5607046"/>
        <s v="KL-2018-5607047"/>
        <s v="KL-2018-5607048"/>
        <s v="KL-2018-5607049"/>
        <s v="KL-2018-5607050"/>
        <s v="KL-2018-5607051"/>
        <s v="KL-2018-5607052"/>
        <s v="KL-2018-5607053"/>
        <s v="KL-2018-5607054"/>
        <s v="KL-2018-5607055"/>
        <s v="KL-2018-5607056"/>
        <s v="KL-2018-5607057"/>
        <s v="KL-2018-5607058"/>
        <s v="KL-2018-5607059"/>
        <s v="KL-2018-5607060"/>
        <s v="KL-2018-5607061"/>
        <s v="KL-2018-5607062"/>
        <s v="KL-2018-5607063"/>
        <s v="KL-2018-5607064"/>
        <s v="KL-2018-5607065"/>
        <s v="KL-2018-5607066"/>
        <s v="KL-2018-5607067"/>
        <s v="KL-2018-5607068"/>
        <s v="KL-2018-5607069"/>
        <s v="KL-2018-5607070"/>
        <s v="KL-2018-5607071"/>
        <s v="KL-2018-5607072"/>
        <s v="KL-2018-5607073"/>
        <s v="KL-2018-5607074"/>
        <s v="KL-2018-5607075"/>
        <s v="KL-2018-5607076"/>
        <s v="KL-2018-5607077"/>
        <s v="KL-2018-5607078"/>
        <s v="KL-2018-5607079"/>
        <s v="KL-2018-5607080"/>
        <s v="KL-2018-5607081"/>
        <s v="KL-2018-5607082"/>
        <s v="KL-2018-5607083"/>
        <s v="KL-2018-5607084"/>
        <s v="KL-2018-5607085"/>
        <s v="KL-2018-5607086"/>
        <s v="KL-2018-5607087"/>
        <s v="KL-2018-5607088"/>
        <s v="KL-2018-5607089"/>
        <s v="KL-2018-5607090"/>
        <s v="KL-2018-5607091"/>
        <s v="KL-2018-5607092"/>
        <s v="KL-2018-5607093"/>
        <s v="KL-2018-5607094"/>
        <s v="KL-2018-5607095"/>
        <s v="KL-2018-5607096"/>
        <s v="KL-2018-5607097"/>
        <s v="KL-2018-5607098"/>
        <s v="KL-2018-5607099"/>
        <s v="KL-2018-5607100"/>
        <s v="KL-2018-5607101"/>
        <s v="KL-2018-5607102"/>
        <s v="KL-2018-5607103"/>
        <s v="KL-2018-5607104"/>
        <s v="KL-2018-5607105"/>
        <s v="KL-2018-5607106"/>
        <s v="KL-2018-5607107"/>
        <s v="KL-2018-5607108"/>
        <s v="KL-2018-5607109"/>
        <s v="KL-2018-5607110"/>
        <s v="KL-2018-5607111"/>
        <s v="KL-2018-5607112"/>
        <s v="KL-2018-5607113"/>
        <s v="KL-2018-5607114"/>
        <s v="KL-2018-5607115"/>
        <s v="KL-2018-5607116"/>
        <s v="KL-2018-5607117"/>
        <s v="KL-2018-5607118"/>
        <s v="KL-2018-5607119"/>
        <s v="KL-2018-5607120"/>
        <s v="KL-2018-5607121"/>
        <s v="KL-2018-5607122"/>
        <s v="KL-2018-5607123"/>
        <s v="KL-2018-5607124"/>
        <s v="KL-2018-5607125"/>
        <s v="KL-2018-5607126"/>
        <s v="KL-2018-5607127"/>
        <s v="KL-2018-5607128"/>
        <s v="KL-2018-5607129"/>
        <s v="KL-2018-5607130"/>
        <s v="KL-2018-5607131"/>
        <s v="KL-2018-5607132"/>
        <s v="KL-2018-5607133"/>
        <s v="KL-2018-5607134"/>
        <s v="KL-2018-5607135"/>
        <s v="KL-2018-5607136"/>
        <s v="KL-2018-5607137"/>
        <s v="KL-2018-5607138"/>
        <s v="KL-2018-5607139"/>
        <s v="KL-2018-5607140"/>
        <s v="KL-2018-5607141"/>
        <s v="KL-2018-5607142"/>
        <s v="KL-2018-5607143"/>
        <s v="KL-2018-5607144"/>
        <s v="KL-2018-5607145"/>
        <s v="KL-2018-5607146"/>
        <s v="KL-2018-5607147"/>
        <s v="KL-2018-5607148"/>
        <s v="KL-2018-5607149"/>
        <s v="KL-2018-5607150"/>
        <s v="KL-2018-5607151"/>
        <s v="KL-2018-5607152"/>
        <s v="KL-2018-5607153"/>
        <s v="KL-2018-5607154"/>
        <s v="KL-2018-5607155"/>
        <s v="KL-2018-5607156"/>
        <s v="KL-2018-5607157"/>
        <s v="KL-2018-5607158"/>
        <s v="KL-2018-5607159"/>
        <s v="KL-2018-5607160"/>
        <s v="KL-2018-5607161"/>
        <s v="KL-2018-5607162"/>
        <s v="KL-2018-5607163"/>
        <s v="KL-2018-5607164"/>
        <s v="KL-2018-5607165"/>
        <s v="KL-2018-5607166"/>
        <s v="KL-2018-5607167"/>
        <s v="KL-2018-5607168"/>
        <s v="KL-2018-5607169"/>
        <s v="KL-2018-5607170"/>
        <s v="KL-2018-5607171"/>
        <s v="KL-2018-5607172"/>
        <s v="KL-2018-5607173"/>
        <s v="KL-2018-5607174"/>
        <s v="KL-2018-5607175"/>
        <s v="KL-2018-5607176"/>
        <s v="KL-2018-5607177"/>
        <s v="KL-2018-5607178"/>
        <s v="KL-2018-5607179"/>
        <s v="KL-2018-5607180"/>
        <s v="KL-2018-5607181"/>
        <s v="KL-2018-5607182"/>
        <s v="KL-2018-5607183"/>
        <s v="KL-2018-5607184"/>
        <s v="KL-2018-5607185"/>
        <s v="KL-2018-5607186"/>
        <s v="KL-2018-5607187"/>
        <s v="KL-2018-5607188"/>
        <s v="KL-2018-5607189"/>
        <s v="KL-2018-5607190"/>
        <s v="KL-2018-5607191"/>
        <s v="KL-2018-5607192"/>
        <s v="KL-2018-5607193"/>
        <s v="KL-2018-5607194"/>
        <s v="KL-2018-5607195"/>
        <s v="KL-2018-5607196"/>
        <s v="KL-2018-5607197"/>
        <s v="KL-2018-5607198"/>
        <s v="KL-2018-5607199"/>
        <s v="KL-2018-5607200"/>
        <s v="KL-2018-5607201"/>
        <s v="KL-2018-5607202"/>
        <s v="KL-2018-5607203"/>
        <s v="KL-2018-5607204"/>
        <s v="KL-2018-5607205"/>
        <s v="KL-2018-5607206"/>
        <s v="KL-2018-5607207"/>
        <s v="KL-2018-5607208"/>
        <s v="KL-2018-5607209"/>
        <s v="KL-2018-5607210"/>
        <s v="KL-2018-5607211"/>
        <s v="KL-2018-5607212"/>
        <s v="KL-2018-5607213"/>
        <s v="KL-2018-5607214"/>
        <s v="KL-2018-5607215"/>
        <s v="KL-2018-5607216"/>
        <s v="KL-2018-5607217"/>
        <s v="KL-2018-5607218"/>
        <s v="KL-2018-5607219"/>
        <s v="KL-2018-5607220"/>
        <s v="KL-2018-5607221"/>
        <s v="KL-2018-5607222"/>
        <s v="KL-2018-5607223"/>
        <s v="KL-2018-5607224"/>
        <s v="KL-2018-5607225"/>
        <s v="KL-2018-5607226"/>
        <s v="KL-2018-5607227"/>
        <s v="KL-2018-5607228"/>
        <s v="KL-2018-5607229"/>
        <s v="KL-2018-5607230"/>
        <s v="KL-2018-5607231"/>
        <s v="KL-2018-5607232"/>
        <s v="KL-2018-5607233"/>
        <s v="KL-2018-5607234"/>
        <s v="KL-2018-5607235"/>
        <s v="KL-2018-5607236"/>
        <s v="KL-2018-5607237"/>
        <s v="KL-2018-5607238"/>
        <s v="KL-2018-5607239"/>
        <s v="KL-2018-5607240"/>
        <s v="KL-2018-5607241"/>
        <s v="KL-2018-5607242"/>
        <s v="KL-2018-5607243"/>
        <s v="KL-2018-5607244"/>
        <s v="KL-2018-5607245"/>
        <s v="KL-2018-5607246"/>
        <s v="KL-2018-5607247"/>
        <s v="KL-2018-5607248"/>
        <s v="KL-2018-5607249"/>
        <s v="KL-2018-5607250"/>
        <s v="KL-2018-5607251"/>
        <s v="KL-2018-5607252"/>
        <s v="KL-2018-5607253"/>
        <s v="KL-2018-5607254"/>
        <s v="KL-2018-5607255"/>
        <s v="KL-2018-5607256"/>
        <s v="KL-2018-5607257"/>
        <s v="KL-2018-5607258"/>
        <s v="KL-2018-5607259"/>
        <s v="KL-2018-5607260"/>
        <s v="KL-2018-5607261"/>
        <s v="KL-2018-5607262"/>
        <s v="KL-2018-5607263"/>
        <s v="KL-2018-5607264"/>
        <s v="KL-2018-5607265"/>
        <s v="KL-2018-5607266"/>
        <s v="KL-2018-5607267"/>
        <s v="KL-2018-5607268"/>
        <s v="KL-2018-5607269"/>
        <s v="KL-2018-5607270"/>
        <s v="KL-2018-5607271"/>
        <s v="KL-2018-5607272"/>
        <s v="KL-2018-5607273"/>
        <s v="KL-2018-5607274"/>
        <s v="KL-2018-5607275"/>
        <s v="KL-2018-5607276"/>
        <s v="KL-2018-5607277"/>
        <s v="KL-2018-5607278"/>
        <s v="KL-2018-5607279"/>
        <s v="KL-2018-5607280"/>
        <s v="KL-2018-5607281"/>
        <s v="KL-2018-5607282"/>
        <s v="KL-2018-5607283"/>
        <s v="KL-2018-5607284"/>
        <s v="KL-2018-5607285"/>
        <s v="KL-2018-5607286"/>
        <s v="KL-2018-5607287"/>
        <s v="KL-2018-5607288"/>
        <s v="KL-2018-5607289"/>
        <s v="KL-2018-5607290"/>
        <s v="KL-2018-5607291"/>
        <s v="KL-2018-5607292"/>
        <s v="KL-2018-5607293"/>
        <s v="KL-2018-5607294"/>
        <s v="KL-2018-5607295"/>
        <s v="KL-2018-5607296"/>
        <s v="KL-2018-5607297"/>
        <s v="KL-2018-5607298"/>
        <s v="KL-2018-5607299"/>
        <s v="KL-2018-5607300"/>
        <s v="KL-2018-5607301"/>
        <s v="KL-2018-5607302"/>
        <s v="KL-2018-5607303"/>
        <s v="KL-2018-5607304"/>
        <s v="KL-2018-5607305"/>
        <s v="KL-2018-5607306"/>
        <s v="KL-2018-5607307"/>
        <s v="KL-2018-5607308"/>
        <s v="KL-2018-5607309"/>
        <s v="KL-2018-5607310"/>
        <s v="KL-2018-5607311"/>
        <s v="KL-2018-5607312"/>
        <s v="KL-2018-5607313"/>
        <s v="KL-2018-5607314"/>
        <s v="KL-2018-5607315"/>
        <s v="KL-2018-5607316"/>
        <s v="KL-2018-5607317"/>
        <s v="KL-2018-5607318"/>
        <s v="KL-2018-5607319"/>
        <s v="KL-2018-5607320"/>
        <s v="KL-2018-5607321"/>
        <s v="KL-2018-5607322"/>
        <s v="KL-2018-5607323"/>
        <s v="KL-2018-5607324"/>
        <s v="KL-2018-5607325"/>
        <s v="KL-2018-5607326"/>
        <s v="KL-2018-5607327"/>
        <s v="KL-2018-5607328"/>
        <s v="KL-2018-5607329"/>
        <s v="KL-2018-5607330"/>
        <s v="KL-2018-5607331"/>
        <s v="KL-2018-5607332"/>
        <s v="KL-2018-5607333"/>
        <s v="KL-2018-5607334"/>
        <s v="KL-2018-5607335"/>
        <s v="KL-2018-5607336"/>
        <s v="KL-2018-5607337"/>
        <s v="KL-2018-5607338"/>
        <s v="KL-2018-5607339"/>
        <s v="KL-2018-5607340"/>
        <s v="KL-2018-5607341"/>
        <s v="KL-2018-5607342"/>
        <s v="KL-2018-5607343"/>
        <s v="KL-2018-5607344"/>
        <s v="KL-2018-5607345"/>
        <s v="KL-2018-5607346"/>
        <s v="KL-2018-5607347"/>
        <s v="KL-2018-5607348"/>
        <s v="KL-2018-5607349"/>
        <s v="KL-2018-5607350"/>
        <s v="KL-2018-5607351"/>
        <s v="KL-2018-5607352"/>
        <s v="KL-2018-5607353"/>
      </sharedItems>
    </cacheField>
    <cacheField name="Order Date" numFmtId="14">
      <sharedItems containsSemiMixedTypes="0" containsNonDate="0" containsDate="1" containsString="0" minDate="2018-01-01T00:00:00" maxDate="2019-01-01T00:00:00" count="365">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sharedItems>
      <fieldGroup par="11"/>
    </cacheField>
    <cacheField name="Customer Name" numFmtId="0">
      <sharedItems count="21">
        <s v="Lani Bowers"/>
        <s v="Lana Adkins"/>
        <s v="Sopoline Noel"/>
        <s v="Abbot Horton"/>
        <s v="Hedda Livingston"/>
        <s v="Henry Hodges"/>
        <s v="Aristotle Barrett"/>
        <s v="Wendy Neal"/>
        <s v="Raymond Mckenzie"/>
        <s v="Zephr Hickman"/>
        <s v="Georgia Kane"/>
        <s v="Stella Dejesus"/>
        <s v="Dahlia Porter"/>
        <s v="Ria Foster"/>
        <s v="Kiona Moore"/>
        <s v="Guinevere Sullivan"/>
        <s v="Ingrid Barnes"/>
        <s v="Quinlan Holcomb"/>
        <s v="Blair Mccullough"/>
        <s v="Diana Guthrie"/>
        <s v="Neville Ashley"/>
      </sharedItems>
    </cacheField>
    <cacheField name="Country" numFmtId="0">
      <sharedItems count="7">
        <s v="Austria"/>
        <s v="Germany"/>
        <s v="Denmark"/>
        <s v="Spain"/>
        <s v="India"/>
        <s v="France"/>
        <s v="Belgium"/>
      </sharedItems>
      <fieldGroup par="9"/>
    </cacheField>
    <cacheField name="State" numFmtId="0">
      <sharedItems count="10">
        <s v="Vienna"/>
        <s v="Lower Saxony"/>
        <s v="Hovedstaden"/>
        <s v="Valenciana"/>
        <s v="South Denmark"/>
        <s v="Maharashtra"/>
        <s v="Bihar"/>
        <s v="Ile-de-France"/>
        <s v="North Rhine-Westphalia"/>
        <s v="Flemish Brabant"/>
      </sharedItems>
    </cacheField>
    <cacheField name="City" numFmtId="0">
      <sharedItems/>
    </cacheField>
    <cacheField name="Region" numFmtId="0">
      <sharedItems count="3">
        <s v="Central"/>
        <s v="North"/>
        <s v="South"/>
      </sharedItems>
    </cacheField>
    <cacheField name="Sales" numFmtId="0">
      <sharedItems containsSemiMixedTypes="0" containsString="0" containsNumber="1" containsInteger="1" minValue="2102" maxValue="4473"/>
    </cacheField>
    <cacheField name="Profit" numFmtId="0">
      <sharedItems containsSemiMixedTypes="0" containsString="0" containsNumber="1" containsInteger="1" minValue="1325" maxValue="3446"/>
    </cacheField>
    <cacheField name="Country2" numFmtId="0" databaseField="0">
      <fieldGroup base="3">
        <discretePr count="7">
          <x v="1"/>
          <x v="2"/>
          <x v="2"/>
          <x v="0"/>
          <x v="1"/>
          <x v="2"/>
          <x v="1"/>
        </discretePr>
        <groupItems count="3">
          <s v="Spain"/>
          <s v="Group1"/>
          <s v="Group2"/>
        </groupItems>
      </fieldGroup>
    </cacheField>
    <cacheField name="Months (Order Date)" numFmtId="0" databaseField="0">
      <fieldGroup base="1">
        <rangePr groupBy="months" startDate="2018-01-01T00:00:00" endDate="2019-01-01T00:00:00"/>
        <groupItems count="14">
          <s v="&lt;01-01-2018"/>
          <s v="Jan"/>
          <s v="Feb"/>
          <s v="Mar"/>
          <s v="Apr"/>
          <s v="May"/>
          <s v="Jun"/>
          <s v="Jul"/>
          <s v="Aug"/>
          <s v="Sep"/>
          <s v="Oct"/>
          <s v="Nov"/>
          <s v="Dec"/>
          <s v="&gt;01-01-2019"/>
        </groupItems>
      </fieldGroup>
    </cacheField>
    <cacheField name="Quarters (Order Date)" numFmtId="0" databaseField="0">
      <fieldGroup base="1">
        <rangePr groupBy="quarters" startDate="2018-01-01T00:00:00" endDate="2019-01-01T00:00:00"/>
        <groupItems count="6">
          <s v="&lt;01-01-2018"/>
          <s v="Qtr1"/>
          <s v="Qtr2"/>
          <s v="Qtr3"/>
          <s v="Qtr4"/>
          <s v="&gt;01-01-2019"/>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pesh Ambule" refreshedDate="45821.958025694446" createdVersion="8" refreshedVersion="8" minRefreshableVersion="3" recordCount="149" xr:uid="{75CDA0C1-D5D0-4623-A381-423473577A1F}">
  <cacheSource type="worksheet">
    <worksheetSource ref="A1:G150" sheet="summery"/>
  </cacheSource>
  <cacheFields count="10">
    <cacheField name="Employee" numFmtId="0">
      <sharedItems/>
    </cacheField>
    <cacheField name="Emp Name" numFmtId="0">
      <sharedItems count="141">
        <s v="Abdul Hamid"/>
        <s v="Afzal Husain"/>
        <s v="Anamika Gupta"/>
        <s v="Anikuttan"/>
        <s v="Anil Kumar"/>
        <s v="Anita Dixit"/>
        <s v="Anita Ghore"/>
        <s v="Anjali Deoram"/>
        <s v="Anjali Sahay"/>
        <s v="Annu Latika"/>
        <s v="Anoop Narayan"/>
        <s v="Anoop Raj"/>
        <s v="Anubhuti Gupta"/>
        <s v="Arun Kumar"/>
        <s v="Ashish Kumar"/>
        <s v="Ashok Kumar"/>
        <s v="Ashok Mahto"/>
        <s v="Atul Kumar"/>
        <s v="Azam"/>
        <s v="Bhagwat Singh"/>
        <s v="Bindu Nair"/>
        <s v="Daleep Singh"/>
        <s v="Deepak Kumar"/>
        <s v="Deepika Nigam"/>
        <s v="Dinesh Kumar"/>
        <s v="Hari Kumar"/>
        <s v="Heeramani Choudhary"/>
        <s v="Indra Pal"/>
        <s v="Indra Singh"/>
        <s v="Jagdish Chandra"/>
        <s v="Jairaj Vatham"/>
        <s v="Janardan Mishra"/>
        <s v="Jitendra Kumar"/>
        <s v="John D'Costa"/>
        <s v="Julie S"/>
        <s v="Jyoti Tulsani"/>
        <s v="Kahkasha Parveen"/>
        <s v="Kailash Nath"/>
        <s v="Kalpana Agrawal"/>
        <s v="Kamini Kumar"/>
        <s v="Kamini Tiwari"/>
        <s v="Kavita Sharma"/>
        <s v="Kiran Khubchandani"/>
        <s v="Kisun Sah"/>
        <s v="Krishana Kumar"/>
        <s v="Kunj Bihari"/>
        <s v="Leena George"/>
        <s v="Lilly Lucy"/>
        <s v="Mangal Singh"/>
        <s v="Manisha Shrivastava"/>
        <s v="Manjusha Sinha"/>
        <s v="ManjuTiwari Lab"/>
        <s v="Manoj Kumar"/>
        <s v="Masroor Adil"/>
        <s v="Meena Zinjare"/>
        <s v="Mehnaz Khan"/>
        <s v="Mercy Thampi"/>
        <s v="Miny Mole"/>
        <s v="Mohd Rafi"/>
        <s v="Mubeen Khan"/>
        <s v="Mukesh Nagar"/>
        <s v="Nandu Kumar"/>
        <s v="Narayan Singh"/>
        <s v="Neeraj Saxena"/>
        <s v="Neeru Mehta"/>
        <s v="Nikita Panwalkar"/>
        <s v="Nitin Bhatia"/>
        <s v="Om Prakash"/>
        <s v="Omprakash O"/>
        <s v="Owais Mohd"/>
        <s v="Pankaj Shelkey"/>
        <s v="Partha Sarathi"/>
        <s v="Prabha Desikan"/>
        <s v="Pramod Tiwari"/>
        <s v="Prasannakumari S"/>
        <s v="Praveen Kumar"/>
        <s v="Rachel Mathew"/>
        <s v="Rachita Anupam"/>
        <s v="Rachna Chauhan"/>
        <s v="Raj Kumar"/>
        <s v="Rajeev Garg"/>
        <s v="Rajeev Kumar"/>
        <s v="Rajendra Gupta"/>
        <s v="Rajendra Kumar"/>
        <s v="Rajendra Prasad"/>
        <s v="Rajesh Kumar"/>
        <s v="Rajesh Sharma"/>
        <s v="Raji Abraham"/>
        <s v="Rajshree Dhabekar"/>
        <s v="Rakhi Jodhani"/>
        <s v="Ramji Prasad"/>
        <s v="Rashid"/>
        <s v="Rashmi Gajbe"/>
        <s v="Ravi Kumar"/>
        <s v="Ravinder Kaur"/>
        <s v="Rekha Agarwal"/>
        <s v="Rekha Gupta"/>
        <s v="Rekha Jain "/>
        <s v="Renu Pratap"/>
        <s v="Ritu Bhatnagar"/>
        <s v="Rohit Nishchal"/>
        <s v="Roli Bhatnagar"/>
        <s v="Roma Rastogi"/>
        <s v="Roohi Haider"/>
        <s v="Sajid Naqvi"/>
        <s v="Salim"/>
        <s v="Sanjay Hire"/>
        <s v="Sanjiv Subherwal"/>
        <s v="Sanju Ramdas"/>
        <s v="Santosh Kumar"/>
        <s v="Sapna Sharma"/>
        <s v="Saroj Parita"/>
        <s v="Shailaja Kamal"/>
        <s v="Shailendra Barge"/>
        <s v="Shankar Attendant"/>
        <s v="Shashikant Tiwari"/>
        <s v="Sheeba Joseph"/>
        <s v="Sheena Joseph"/>
        <s v="Shephali Jain"/>
        <s v="Shivji Prasad"/>
        <s v="Shubhanjali Joshi"/>
        <s v="Shyamal Malakar"/>
        <s v="Sneh Khan"/>
        <s v="Sonaram Munda"/>
        <s v="Sudama Kumar"/>
        <s v="Sudhir Kumar"/>
        <s v="Sunil Kumar"/>
        <s v="Sunita Chawla"/>
        <s v="Sunita Madnani"/>
        <s v="Surendra Kumar"/>
        <s v="Surendranath Thakur"/>
        <s v="Sushma Khandelwal"/>
        <s v="Swarnlata Borse"/>
        <s v="Syed Naved"/>
        <s v="Syed Saqib"/>
        <s v="Syed Sohail"/>
        <s v="System Operator"/>
        <s v="Tahira Qureshi"/>
        <s v="Tapas Chakraborty"/>
        <s v="Tariq Akhlaq"/>
        <s v="Tasneem Khan"/>
      </sharedItems>
    </cacheField>
    <cacheField name="Total Number of woking hours" numFmtId="164">
      <sharedItems containsSemiMixedTypes="0" containsNonDate="0" containsDate="1" containsString="0" minDate="1899-12-30T04:56:13" maxDate="1899-12-30T09:16:31" count="142">
        <d v="1899-12-30T08:15:43"/>
        <d v="1899-12-30T08:15:36"/>
        <d v="1899-12-30T08:16:57"/>
        <d v="1899-12-30T08:09:56"/>
        <d v="1899-12-30T07:20:41"/>
        <d v="1899-12-30T05:00:09"/>
        <d v="1899-12-30T08:16:38"/>
        <d v="1899-12-30T09:16:31"/>
        <d v="1899-12-30T08:13:18"/>
        <d v="1899-12-30T08:20:41"/>
        <d v="1899-12-30T08:10:35"/>
        <d v="1899-12-30T08:04:10"/>
        <d v="1899-12-30T08:14:38"/>
        <d v="1899-12-30T07:59:50"/>
        <d v="1899-12-30T08:16:59"/>
        <d v="1899-12-30T08:17:15"/>
        <d v="1899-12-30T07:53:01"/>
        <d v="1899-12-30T08:16:43"/>
        <d v="1899-12-30T08:21:16"/>
        <d v="1899-12-30T08:17:52"/>
        <d v="1899-12-30T08:13:41"/>
        <d v="1899-12-30T08:17:34"/>
        <d v="1899-12-30T07:41:44"/>
        <d v="1899-12-30T08:10:04"/>
        <d v="1899-12-30T08:14:20"/>
        <d v="1899-12-30T07:35:57"/>
        <d v="1899-12-30T08:13:53"/>
        <d v="1899-12-30T08:15:11"/>
        <d v="1899-12-30T07:27:24"/>
        <d v="1899-12-30T07:59:57"/>
        <d v="1899-12-30T08:17:44"/>
        <d v="1899-12-30T08:19:10"/>
        <d v="1899-12-30T08:16:23"/>
        <d v="1899-12-30T07:39:42"/>
        <d v="1899-12-30T08:11:27"/>
        <d v="1899-12-30T08:09:47"/>
        <d v="1899-12-30T08:15:46"/>
        <d v="1899-12-30T08:15:19"/>
        <d v="1899-12-30T08:17:24"/>
        <d v="1899-12-30T08:16:01"/>
        <d v="1899-12-30T08:00:08"/>
        <d v="1899-12-30T05:01:37"/>
        <d v="1899-12-30T08:26:46"/>
        <d v="1899-12-30T07:53:25"/>
        <d v="1899-12-30T08:01:28"/>
        <d v="1899-12-30T08:21:34"/>
        <d v="1899-12-30T08:15:28"/>
        <d v="1899-12-30T07:59:19"/>
        <d v="1899-12-30T04:56:13"/>
        <d v="1899-12-30T07:45:23"/>
        <d v="1899-12-30T08:00:13"/>
        <d v="1899-12-30T08:09:49"/>
        <d v="1899-12-30T08:14:05"/>
        <d v="1899-12-30T07:41:28"/>
        <d v="1899-12-30T08:00:44"/>
        <d v="1899-12-30T07:55:23"/>
        <d v="1899-12-30T08:05:29"/>
        <d v="1899-12-30T08:14:51"/>
        <d v="1899-12-30T05:15:35"/>
        <d v="1899-12-30T08:12:10"/>
        <d v="1899-12-30T08:00:32"/>
        <d v="1899-12-30T07:55:35"/>
        <d v="1899-12-30T05:01:07"/>
        <d v="1899-12-30T08:21:39"/>
        <d v="1899-12-30T08:19:29"/>
        <d v="1899-12-30T08:21:13"/>
        <d v="1899-12-30T08:02:20"/>
        <d v="1899-12-30T08:16:46"/>
        <d v="1899-12-30T08:00:37"/>
        <d v="1899-12-30T07:55:44"/>
        <d v="1899-12-30T08:09:43"/>
        <d v="1899-12-30T08:01:11"/>
        <d v="1899-12-30T08:15:54"/>
        <d v="1899-12-30T08:32:22"/>
        <d v="1899-12-30T08:21:49"/>
        <d v="1899-12-30T08:25:20"/>
        <d v="1899-12-30T08:08:02"/>
        <d v="1899-12-30T08:19:20"/>
        <d v="1899-12-30T08:25:36"/>
        <d v="1899-12-30T08:16:26"/>
        <d v="1899-12-30T07:36:07"/>
        <d v="1899-12-30T08:09:57"/>
        <d v="1899-12-30T08:04:00"/>
        <d v="1899-12-30T07:59:43"/>
        <d v="1899-12-30T08:25:57"/>
        <d v="1899-12-30T08:14:44"/>
        <d v="1899-12-30T08:22:34"/>
        <d v="1899-12-30T08:00:39"/>
        <d v="1899-12-30T08:17:39"/>
        <d v="1899-12-30T05:04:31"/>
        <d v="1899-12-30T08:10:41"/>
        <d v="1899-12-30T08:15:13"/>
        <d v="1899-12-30T08:02:52"/>
        <d v="1899-12-30T08:19:26"/>
        <d v="1899-12-30T08:02:10"/>
        <d v="1899-12-30T08:20:42"/>
        <d v="1899-12-30T08:01:53"/>
        <d v="1899-12-30T05:53:52"/>
        <d v="1899-12-30T08:16:02"/>
        <d v="1899-12-30T08:15:42"/>
        <d v="1899-12-30T08:16:30"/>
        <d v="1899-12-30T08:01:48"/>
        <d v="1899-12-30T08:17:09"/>
        <d v="1899-12-30T08:31:02"/>
        <d v="1899-12-30T08:00:11"/>
        <d v="1899-12-30T08:15:48"/>
        <d v="1899-12-30T08:15:56"/>
        <d v="1899-12-30T08:15:52"/>
        <d v="1899-12-30T08:02:17"/>
        <d v="1899-12-30T08:15:58"/>
        <d v="1899-12-30T08:17:04"/>
        <d v="1899-12-30T08:02:59"/>
        <d v="1899-12-30T08:04:14"/>
        <d v="1899-12-30T08:01:59"/>
        <d v="1899-12-30T08:09:14"/>
        <d v="1899-12-30T08:17:38"/>
        <d v="1899-12-30T07:57:56"/>
        <d v="1899-12-30T08:14:55"/>
        <d v="1899-12-30T08:30:57"/>
        <d v="1899-12-30T08:49:34"/>
        <d v="1899-12-30T08:25:43"/>
        <d v="1899-12-30T08:11:40"/>
        <d v="1899-12-30T08:17:17"/>
        <d v="1899-12-30T08:09:15"/>
        <d v="1899-12-30T08:00:41"/>
        <d v="1899-12-30T08:00:18"/>
        <d v="1899-12-30T08:03:26"/>
        <d v="1899-12-30T08:05:06"/>
        <d v="1899-12-30T08:05:25"/>
        <d v="1899-12-30T08:14:02"/>
        <d v="1899-12-30T07:29:10"/>
        <d v="1899-12-30T08:33:53"/>
        <d v="1899-12-30T08:15:15"/>
        <d v="1899-12-30T08:19:05"/>
        <d v="1899-12-30T08:13:39"/>
        <d v="1899-12-30T08:24:48"/>
        <d v="1899-12-30T08:17:53"/>
        <d v="1899-12-30T08:30:54"/>
        <d v="1899-12-30T08:46:13"/>
        <d v="1899-12-30T08:14:56"/>
        <d v="1899-12-30T04:59:55"/>
        <d v="1899-12-30T08:33:55"/>
      </sharedItems>
      <fieldGroup par="9"/>
    </cacheField>
    <cacheField name="Work Efficiency " numFmtId="164">
      <sharedItems containsDate="1" containsMixedTypes="1" minDate="1899-12-30T00:48:33" maxDate="1899-12-30T05:52:08"/>
    </cacheField>
    <cacheField name="Total Break Taken" numFmtId="164">
      <sharedItems containsSemiMixedTypes="0" containsNonDate="0" containsDate="1" containsString="0" minDate="1899-12-30T00:15:00" maxDate="1899-12-30T08:17:00"/>
    </cacheField>
    <cacheField name="Attended Calls" numFmtId="0">
      <sharedItems containsSemiMixedTypes="0" containsString="0" containsNumber="1" containsInteger="1" minValue="23" maxValue="107"/>
    </cacheField>
    <cacheField name="Active With Cust." numFmtId="9">
      <sharedItems containsSemiMixedTypes="0" containsString="0" containsNumber="1" minValue="0" maxValue="0.65495030262646503"/>
    </cacheField>
    <cacheField name="Seconds (Total Number of woking hours)" numFmtId="0" databaseField="0">
      <fieldGroup base="2">
        <rangePr groupBy="seconds" startDate="1899-12-30T04:56:13" endDate="1899-12-30T09:16:31"/>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Minutes (Total Number of woking hours)" numFmtId="0" databaseField="0">
      <fieldGroup base="2">
        <rangePr groupBy="minutes" startDate="1899-12-30T04:56:13" endDate="1899-12-30T09:16:31"/>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Total Number of woking hours)" numFmtId="0" databaseField="0">
      <fieldGroup base="2">
        <rangePr groupBy="hours" startDate="1899-12-30T04:56:13" endDate="1899-12-30T09:16:31"/>
        <groupItems count="26">
          <s v="&lt;00-01-1900"/>
          <s v="00"/>
          <s v="01"/>
          <s v="02"/>
          <s v="03"/>
          <s v="04"/>
          <s v="05"/>
          <s v="06"/>
          <s v="07"/>
          <s v="08"/>
          <s v="09"/>
          <s v="10"/>
          <s v="11"/>
          <s v="12"/>
          <s v="13"/>
          <s v="14"/>
          <s v="15"/>
          <s v="16"/>
          <s v="17"/>
          <s v="18"/>
          <s v="19"/>
          <s v="20"/>
          <s v="21"/>
          <s v="22"/>
          <s v="23"/>
          <s v="&gt;00-01-190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s v="KL-2018-5607031"/>
    <d v="2018-01-01T00:00:00"/>
    <s v="Lani Bowers"/>
    <x v="0"/>
    <s v="Vienna"/>
    <s v="Vienna"/>
    <x v="0"/>
    <n v="2934"/>
    <n v="1819"/>
  </r>
  <r>
    <s v="KL-2018-5607032"/>
    <d v="2018-01-01T00:00:00"/>
    <s v="Lana Adkins"/>
    <x v="0"/>
    <s v="Vienna"/>
    <s v="Vienna"/>
    <x v="0"/>
    <n v="4354"/>
    <n v="2787"/>
  </r>
  <r>
    <s v="KL-2018-5607033"/>
    <d v="2018-01-01T00:00:00"/>
    <s v="Sopoline Noel"/>
    <x v="0"/>
    <s v="Vienna"/>
    <s v="Vienna"/>
    <x v="0"/>
    <n v="2102"/>
    <n v="1534"/>
  </r>
  <r>
    <s v="KL-2018-5607034"/>
    <d v="2018-01-02T00:00:00"/>
    <s v="Abbot Horton"/>
    <x v="1"/>
    <s v="Lower Saxony"/>
    <s v="Langen"/>
    <x v="0"/>
    <n v="3261"/>
    <n v="2446"/>
  </r>
  <r>
    <s v="KL-2018-5607035"/>
    <d v="2018-01-02T00:00:00"/>
    <s v="Hedda Livingston"/>
    <x v="1"/>
    <s v="Lower Saxony"/>
    <s v="Langen"/>
    <x v="0"/>
    <n v="2577"/>
    <n v="1907"/>
  </r>
  <r>
    <s v="KL-2018-5607036"/>
    <d v="2018-01-02T00:00:00"/>
    <s v="Henry Hodges"/>
    <x v="1"/>
    <s v="Lower Saxony"/>
    <s v="Langen"/>
    <x v="0"/>
    <n v="3131"/>
    <n v="1973"/>
  </r>
  <r>
    <s v="KL-2018-5607037"/>
    <d v="2018-01-02T00:00:00"/>
    <s v="Aristotle Barrett"/>
    <x v="1"/>
    <s v="Lower Saxony"/>
    <s v="Langen"/>
    <x v="0"/>
    <n v="2683"/>
    <n v="1798"/>
  </r>
  <r>
    <s v="KL-2018-5607038"/>
    <d v="2018-01-02T00:00:00"/>
    <s v="Wendy Neal"/>
    <x v="1"/>
    <s v="Lower Saxony"/>
    <s v="Langen"/>
    <x v="0"/>
    <n v="2613"/>
    <n v="1751"/>
  </r>
  <r>
    <s v="KL-2018-5607039"/>
    <d v="2018-01-03T00:00:00"/>
    <s v="Raymond Mckenzie"/>
    <x v="2"/>
    <s v="Hovedstaden"/>
    <s v="Copenhagen"/>
    <x v="1"/>
    <n v="4076"/>
    <n v="2609"/>
  </r>
  <r>
    <s v="KL-2018-5607040"/>
    <d v="2018-01-03T00:00:00"/>
    <s v="Zephr Hickman"/>
    <x v="3"/>
    <s v="Valenciana"/>
    <s v="Gandia"/>
    <x v="2"/>
    <n v="4400"/>
    <n v="3432"/>
  </r>
  <r>
    <s v="KL-2018-5607041"/>
    <d v="2018-01-03T00:00:00"/>
    <s v="Georgia Kane"/>
    <x v="2"/>
    <s v="South Denmark"/>
    <s v="Esbjerg"/>
    <x v="1"/>
    <n v="2466"/>
    <n v="1603"/>
  </r>
  <r>
    <s v="KL-2018-5607042"/>
    <d v="2018-01-04T00:00:00"/>
    <s v="Stella Dejesus"/>
    <x v="4"/>
    <s v="Maharashtra"/>
    <s v="Mumbai"/>
    <x v="2"/>
    <n v="2137"/>
    <n v="1325"/>
  </r>
  <r>
    <s v="KL-2018-5607043"/>
    <d v="2018-01-04T00:00:00"/>
    <s v="Dahlia Porter"/>
    <x v="4"/>
    <s v="Bihar"/>
    <s v="Patna"/>
    <x v="2"/>
    <n v="4216"/>
    <n v="3162"/>
  </r>
  <r>
    <s v="KL-2018-5607044"/>
    <d v="2018-01-04T00:00:00"/>
    <s v="Ria Foster"/>
    <x v="4"/>
    <s v="Bihar"/>
    <s v="Patna"/>
    <x v="2"/>
    <n v="3165"/>
    <n v="2310"/>
  </r>
  <r>
    <s v="KL-2018-5607045"/>
    <d v="2018-01-04T00:00:00"/>
    <s v="Kiona Moore"/>
    <x v="5"/>
    <s v="Ile-de-France"/>
    <s v="Villiers-sur-Marne"/>
    <x v="0"/>
    <n v="3263"/>
    <n v="2545"/>
  </r>
  <r>
    <s v="KL-2018-5607046"/>
    <d v="2018-01-04T00:00:00"/>
    <s v="Guinevere Sullivan"/>
    <x v="1"/>
    <s v="North Rhine-Westphalia"/>
    <s v="Bielefeld"/>
    <x v="0"/>
    <n v="2946"/>
    <n v="2210"/>
  </r>
  <r>
    <s v="KL-2018-5607047"/>
    <d v="2018-01-04T00:00:00"/>
    <s v="Ingrid Barnes"/>
    <x v="6"/>
    <s v="Flemish Brabant"/>
    <s v="Leuven"/>
    <x v="0"/>
    <n v="2989"/>
    <n v="2212"/>
  </r>
  <r>
    <s v="KL-2018-5607048"/>
    <d v="2018-01-05T00:00:00"/>
    <s v="Quinlan Holcomb"/>
    <x v="6"/>
    <s v="Flemish Brabant"/>
    <s v="Leuven"/>
    <x v="0"/>
    <n v="3463"/>
    <n v="2770"/>
  </r>
  <r>
    <s v="KL-2018-5607049"/>
    <d v="2018-01-05T00:00:00"/>
    <s v="Blair Mccullough"/>
    <x v="4"/>
    <s v="Maharashtra"/>
    <s v="Pune"/>
    <x v="2"/>
    <n v="2677"/>
    <n v="2088"/>
  </r>
  <r>
    <s v="KL-2018-5607050"/>
    <d v="2018-01-07T00:00:00"/>
    <s v="Diana Guthrie"/>
    <x v="4"/>
    <s v="Maharashtra"/>
    <s v="Pune"/>
    <x v="2"/>
    <n v="2966"/>
    <n v="1928"/>
  </r>
  <r>
    <s v="KL-2018-5607051"/>
    <d v="2018-01-07T00:00:00"/>
    <s v="Neville Ashley"/>
    <x v="4"/>
    <s v="Maharashtra"/>
    <s v="Pune"/>
    <x v="2"/>
    <n v="2106"/>
    <n v="1516"/>
  </r>
  <r>
    <s v="KL-2018-5607031"/>
    <d v="2018-01-07T00:00:00"/>
    <s v="Lani Bowers"/>
    <x v="0"/>
    <s v="Vienna"/>
    <s v="Vienna"/>
    <x v="0"/>
    <n v="3664"/>
    <n v="2272"/>
  </r>
  <r>
    <s v="KL-2018-5607032"/>
    <d v="2018-01-08T00:00:00"/>
    <s v="Lana Adkins"/>
    <x v="0"/>
    <s v="Vienna"/>
    <s v="Vienna"/>
    <x v="0"/>
    <n v="3069"/>
    <n v="2240"/>
  </r>
  <r>
    <s v="KL-2018-5607033"/>
    <d v="2018-01-08T00:00:00"/>
    <s v="Sopoline Noel"/>
    <x v="0"/>
    <s v="Vienna"/>
    <s v="Vienna"/>
    <x v="0"/>
    <n v="3755"/>
    <n v="2516"/>
  </r>
  <r>
    <s v="KL-2018-5607034"/>
    <d v="2018-01-08T00:00:00"/>
    <s v="Abbot Horton"/>
    <x v="1"/>
    <s v="Lower Saxony"/>
    <s v="Langen"/>
    <x v="0"/>
    <n v="3215"/>
    <n v="2058"/>
  </r>
  <r>
    <s v="KL-2018-5607035"/>
    <d v="2018-01-08T00:00:00"/>
    <s v="Hedda Livingston"/>
    <x v="1"/>
    <s v="Lower Saxony"/>
    <s v="Langen"/>
    <x v="0"/>
    <n v="3685"/>
    <n v="2543"/>
  </r>
  <r>
    <s v="KL-2018-5607036"/>
    <d v="2018-01-08T00:00:00"/>
    <s v="Henry Hodges"/>
    <x v="1"/>
    <s v="Lower Saxony"/>
    <s v="Langen"/>
    <x v="0"/>
    <n v="4015"/>
    <n v="2730"/>
  </r>
  <r>
    <s v="KL-2018-5607037"/>
    <d v="2018-01-08T00:00:00"/>
    <s v="Aristotle Barrett"/>
    <x v="1"/>
    <s v="Lower Saxony"/>
    <s v="Langen"/>
    <x v="0"/>
    <n v="2517"/>
    <n v="1661"/>
  </r>
  <r>
    <s v="KL-2018-5607038"/>
    <d v="2018-01-12T00:00:00"/>
    <s v="Wendy Neal"/>
    <x v="1"/>
    <s v="Lower Saxony"/>
    <s v="Langen"/>
    <x v="0"/>
    <n v="2598"/>
    <n v="1793"/>
  </r>
  <r>
    <s v="KL-2018-5607039"/>
    <d v="2018-01-12T00:00:00"/>
    <s v="Raymond Mckenzie"/>
    <x v="2"/>
    <s v="Hovedstaden"/>
    <s v="Copenhagen"/>
    <x v="1"/>
    <n v="3513"/>
    <n v="2740"/>
  </r>
  <r>
    <s v="KL-2018-5607040"/>
    <d v="2018-01-12T00:00:00"/>
    <s v="Zephr Hickman"/>
    <x v="3"/>
    <s v="Valenciana"/>
    <s v="Gandia"/>
    <x v="2"/>
    <n v="2247"/>
    <n v="1775"/>
  </r>
  <r>
    <s v="KL-2018-5607041"/>
    <d v="2018-01-13T00:00:00"/>
    <s v="Georgia Kane"/>
    <x v="2"/>
    <s v="South Denmark"/>
    <s v="Esbjerg"/>
    <x v="1"/>
    <n v="2878"/>
    <n v="1784"/>
  </r>
  <r>
    <s v="KL-2018-5607042"/>
    <d v="2018-01-13T00:00:00"/>
    <s v="Stella Dejesus"/>
    <x v="4"/>
    <s v="Maharashtra"/>
    <s v="Mumbai"/>
    <x v="2"/>
    <n v="3425"/>
    <n v="2706"/>
  </r>
  <r>
    <s v="KL-2018-5607043"/>
    <d v="2018-01-13T00:00:00"/>
    <s v="Dahlia Porter"/>
    <x v="4"/>
    <s v="Bihar"/>
    <s v="Patna"/>
    <x v="2"/>
    <n v="2865"/>
    <n v="2091"/>
  </r>
  <r>
    <s v="KL-2018-5607044"/>
    <d v="2018-01-14T00:00:00"/>
    <s v="Ria Foster"/>
    <x v="4"/>
    <s v="Bihar"/>
    <s v="Patna"/>
    <x v="2"/>
    <n v="2393"/>
    <n v="1723"/>
  </r>
  <r>
    <s v="KL-2018-5607045"/>
    <d v="2018-01-14T00:00:00"/>
    <s v="Kiona Moore"/>
    <x v="5"/>
    <s v="Ile-de-France"/>
    <s v="Villiers-sur-Marne"/>
    <x v="0"/>
    <n v="3149"/>
    <n v="2299"/>
  </r>
  <r>
    <s v="KL-2018-5607046"/>
    <d v="2018-01-14T00:00:00"/>
    <s v="Guinevere Sullivan"/>
    <x v="1"/>
    <s v="North Rhine-Westphalia"/>
    <s v="Bielefeld"/>
    <x v="0"/>
    <n v="3277"/>
    <n v="2130"/>
  </r>
  <r>
    <s v="KL-2018-5607047"/>
    <d v="2018-01-14T00:00:00"/>
    <s v="Ingrid Barnes"/>
    <x v="6"/>
    <s v="Flemish Brabant"/>
    <s v="Leuven"/>
    <x v="0"/>
    <n v="2713"/>
    <n v="1682"/>
  </r>
  <r>
    <s v="KL-2018-5607048"/>
    <d v="2018-01-15T00:00:00"/>
    <s v="Quinlan Holcomb"/>
    <x v="6"/>
    <s v="Flemish Brabant"/>
    <s v="Leuven"/>
    <x v="0"/>
    <n v="3381"/>
    <n v="2231"/>
  </r>
  <r>
    <s v="KL-2018-5607049"/>
    <d v="2018-01-15T00:00:00"/>
    <s v="Blair Mccullough"/>
    <x v="4"/>
    <s v="Maharashtra"/>
    <s v="Pune"/>
    <x v="2"/>
    <n v="2545"/>
    <n v="2011"/>
  </r>
  <r>
    <s v="KL-2018-5607050"/>
    <d v="2018-01-15T00:00:00"/>
    <s v="Diana Guthrie"/>
    <x v="4"/>
    <s v="Maharashtra"/>
    <s v="Pune"/>
    <x v="2"/>
    <n v="4473"/>
    <n v="2729"/>
  </r>
  <r>
    <s v="KL-2018-5607051"/>
    <d v="2018-01-15T00:00:00"/>
    <s v="Neville Ashley"/>
    <x v="4"/>
    <s v="Maharashtra"/>
    <s v="Pune"/>
    <x v="2"/>
    <n v="3332"/>
    <n v="2132"/>
  </r>
  <r>
    <s v="KL-2018-5607031"/>
    <d v="2018-01-16T00:00:00"/>
    <s v="Lani Bowers"/>
    <x v="0"/>
    <s v="Vienna"/>
    <s v="Vienna"/>
    <x v="0"/>
    <n v="2283"/>
    <n v="1438"/>
  </r>
  <r>
    <s v="KL-2018-5607032"/>
    <d v="2018-01-16T00:00:00"/>
    <s v="Lana Adkins"/>
    <x v="0"/>
    <s v="Vienna"/>
    <s v="Vienna"/>
    <x v="0"/>
    <n v="2696"/>
    <n v="1833"/>
  </r>
  <r>
    <s v="KL-2018-5607033"/>
    <d v="2018-01-16T00:00:00"/>
    <s v="Sopoline Noel"/>
    <x v="0"/>
    <s v="Vienna"/>
    <s v="Vienna"/>
    <x v="0"/>
    <n v="4061"/>
    <n v="3127"/>
  </r>
  <r>
    <s v="KL-2018-5607034"/>
    <d v="2018-01-16T00:00:00"/>
    <s v="Abbot Horton"/>
    <x v="1"/>
    <s v="Lower Saxony"/>
    <s v="Langen"/>
    <x v="0"/>
    <n v="2382"/>
    <n v="1548"/>
  </r>
  <r>
    <s v="KL-2018-5607035"/>
    <d v="2018-01-16T00:00:00"/>
    <s v="Hedda Livingston"/>
    <x v="1"/>
    <s v="Lower Saxony"/>
    <s v="Langen"/>
    <x v="0"/>
    <n v="4336"/>
    <n v="2602"/>
  </r>
  <r>
    <s v="KL-2018-5607036"/>
    <d v="2018-01-16T00:00:00"/>
    <s v="Henry Hodges"/>
    <x v="1"/>
    <s v="Lower Saxony"/>
    <s v="Langen"/>
    <x v="0"/>
    <n v="2602"/>
    <n v="2004"/>
  </r>
  <r>
    <s v="KL-2018-5607037"/>
    <d v="2018-01-17T00:00:00"/>
    <s v="Aristotle Barrett"/>
    <x v="1"/>
    <s v="Lower Saxony"/>
    <s v="Langen"/>
    <x v="0"/>
    <n v="3094"/>
    <n v="2073"/>
  </r>
  <r>
    <s v="KL-2018-5607038"/>
    <d v="2018-01-17T00:00:00"/>
    <s v="Wendy Neal"/>
    <x v="1"/>
    <s v="Lower Saxony"/>
    <s v="Langen"/>
    <x v="0"/>
    <n v="3510"/>
    <n v="2141"/>
  </r>
  <r>
    <s v="KL-2018-5607039"/>
    <d v="2018-01-17T00:00:00"/>
    <s v="Raymond Mckenzie"/>
    <x v="2"/>
    <s v="Hovedstaden"/>
    <s v="Copenhagen"/>
    <x v="1"/>
    <n v="2134"/>
    <n v="1536"/>
  </r>
  <r>
    <s v="KL-2018-5607040"/>
    <d v="2018-01-17T00:00:00"/>
    <s v="Zephr Hickman"/>
    <x v="3"/>
    <s v="Valenciana"/>
    <s v="Gandia"/>
    <x v="2"/>
    <n v="2661"/>
    <n v="2022"/>
  </r>
  <r>
    <s v="KL-2018-5607041"/>
    <d v="2018-01-17T00:00:00"/>
    <s v="Georgia Kane"/>
    <x v="2"/>
    <s v="South Denmark"/>
    <s v="Esbjerg"/>
    <x v="1"/>
    <n v="2901"/>
    <n v="1741"/>
  </r>
  <r>
    <s v="KL-2018-5607042"/>
    <d v="2018-01-17T00:00:00"/>
    <s v="Stella Dejesus"/>
    <x v="4"/>
    <s v="Maharashtra"/>
    <s v="Mumbai"/>
    <x v="2"/>
    <n v="3784"/>
    <n v="2384"/>
  </r>
  <r>
    <s v="KL-2018-5607043"/>
    <d v="2018-01-18T00:00:00"/>
    <s v="Dahlia Porter"/>
    <x v="4"/>
    <s v="Bihar"/>
    <s v="Patna"/>
    <x v="2"/>
    <n v="3135"/>
    <n v="2445"/>
  </r>
  <r>
    <s v="KL-2018-5607044"/>
    <d v="2018-01-18T00:00:00"/>
    <s v="Ria Foster"/>
    <x v="4"/>
    <s v="Bihar"/>
    <s v="Patna"/>
    <x v="2"/>
    <n v="2802"/>
    <n v="1877"/>
  </r>
  <r>
    <s v="KL-2018-5607045"/>
    <d v="2018-01-18T00:00:00"/>
    <s v="Kiona Moore"/>
    <x v="5"/>
    <s v="Ile-de-France"/>
    <s v="Villiers-sur-Marne"/>
    <x v="0"/>
    <n v="3486"/>
    <n v="2789"/>
  </r>
  <r>
    <s v="KL-2018-5607046"/>
    <d v="2018-01-18T00:00:00"/>
    <s v="Guinevere Sullivan"/>
    <x v="1"/>
    <s v="North Rhine-Westphalia"/>
    <s v="Bielefeld"/>
    <x v="0"/>
    <n v="3422"/>
    <n v="2122"/>
  </r>
  <r>
    <s v="KL-2018-5607047"/>
    <d v="2018-01-18T00:00:00"/>
    <s v="Ingrid Barnes"/>
    <x v="6"/>
    <s v="Flemish Brabant"/>
    <s v="Leuven"/>
    <x v="0"/>
    <n v="2842"/>
    <n v="2188"/>
  </r>
  <r>
    <s v="KL-2018-5607048"/>
    <d v="2018-01-19T00:00:00"/>
    <s v="Quinlan Holcomb"/>
    <x v="6"/>
    <s v="Flemish Brabant"/>
    <s v="Leuven"/>
    <x v="0"/>
    <n v="3846"/>
    <n v="2500"/>
  </r>
  <r>
    <s v="KL-2018-5607049"/>
    <d v="2018-01-19T00:00:00"/>
    <s v="Blair Mccullough"/>
    <x v="4"/>
    <s v="Maharashtra"/>
    <s v="Pune"/>
    <x v="2"/>
    <n v="3131"/>
    <n v="2380"/>
  </r>
  <r>
    <s v="KL-2018-5607050"/>
    <d v="2018-01-20T00:00:00"/>
    <s v="Diana Guthrie"/>
    <x v="4"/>
    <s v="Maharashtra"/>
    <s v="Pune"/>
    <x v="2"/>
    <n v="3825"/>
    <n v="2333"/>
  </r>
  <r>
    <s v="KL-2018-5607051"/>
    <d v="2018-01-20T00:00:00"/>
    <s v="Neville Ashley"/>
    <x v="4"/>
    <s v="Maharashtra"/>
    <s v="Pune"/>
    <x v="2"/>
    <n v="4362"/>
    <n v="3446"/>
  </r>
  <r>
    <m/>
    <m/>
    <m/>
    <x v="7"/>
    <m/>
    <m/>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s v="KL-2018-5607031"/>
    <x v="0"/>
    <x v="0"/>
    <x v="0"/>
    <x v="0"/>
    <x v="0"/>
    <x v="0"/>
    <n v="2934"/>
    <n v="1819"/>
  </r>
  <r>
    <s v="KL-2018-5607032"/>
    <x v="0"/>
    <x v="1"/>
    <x v="0"/>
    <x v="0"/>
    <x v="0"/>
    <x v="0"/>
    <n v="4354"/>
    <n v="2787"/>
  </r>
  <r>
    <s v="KL-2018-5607033"/>
    <x v="0"/>
    <x v="2"/>
    <x v="0"/>
    <x v="0"/>
    <x v="0"/>
    <x v="0"/>
    <n v="2102"/>
    <n v="1534"/>
  </r>
  <r>
    <s v="KL-2018-5607034"/>
    <x v="1"/>
    <x v="3"/>
    <x v="1"/>
    <x v="1"/>
    <x v="1"/>
    <x v="0"/>
    <n v="3261"/>
    <n v="2446"/>
  </r>
  <r>
    <s v="KL-2018-5607035"/>
    <x v="1"/>
    <x v="4"/>
    <x v="1"/>
    <x v="1"/>
    <x v="1"/>
    <x v="0"/>
    <n v="2577"/>
    <n v="1907"/>
  </r>
  <r>
    <s v="KL-2018-5607036"/>
    <x v="1"/>
    <x v="5"/>
    <x v="1"/>
    <x v="1"/>
    <x v="1"/>
    <x v="0"/>
    <n v="3131"/>
    <n v="1973"/>
  </r>
  <r>
    <s v="KL-2018-5607037"/>
    <x v="1"/>
    <x v="6"/>
    <x v="1"/>
    <x v="1"/>
    <x v="1"/>
    <x v="0"/>
    <n v="2683"/>
    <n v="1798"/>
  </r>
  <r>
    <s v="KL-2018-5607038"/>
    <x v="1"/>
    <x v="7"/>
    <x v="1"/>
    <x v="1"/>
    <x v="1"/>
    <x v="0"/>
    <n v="2613"/>
    <n v="1751"/>
  </r>
  <r>
    <s v="KL-2018-5607039"/>
    <x v="2"/>
    <x v="8"/>
    <x v="2"/>
    <x v="2"/>
    <x v="2"/>
    <x v="1"/>
    <n v="4076"/>
    <n v="2609"/>
  </r>
  <r>
    <s v="KL-2018-5607040"/>
    <x v="2"/>
    <x v="9"/>
    <x v="3"/>
    <x v="3"/>
    <x v="3"/>
    <x v="2"/>
    <n v="4400"/>
    <n v="3432"/>
  </r>
  <r>
    <s v="KL-2018-5607041"/>
    <x v="2"/>
    <x v="10"/>
    <x v="2"/>
    <x v="4"/>
    <x v="4"/>
    <x v="1"/>
    <n v="2466"/>
    <n v="1603"/>
  </r>
  <r>
    <s v="KL-2018-5607042"/>
    <x v="3"/>
    <x v="11"/>
    <x v="4"/>
    <x v="5"/>
    <x v="5"/>
    <x v="2"/>
    <n v="2137"/>
    <n v="1325"/>
  </r>
  <r>
    <s v="KL-2018-5607043"/>
    <x v="3"/>
    <x v="12"/>
    <x v="4"/>
    <x v="6"/>
    <x v="6"/>
    <x v="2"/>
    <n v="4216"/>
    <n v="3162"/>
  </r>
  <r>
    <s v="KL-2018-5607044"/>
    <x v="3"/>
    <x v="13"/>
    <x v="4"/>
    <x v="6"/>
    <x v="6"/>
    <x v="2"/>
    <n v="3165"/>
    <n v="2310"/>
  </r>
  <r>
    <s v="KL-2018-5607045"/>
    <x v="3"/>
    <x v="14"/>
    <x v="5"/>
    <x v="7"/>
    <x v="7"/>
    <x v="0"/>
    <n v="3263"/>
    <n v="2545"/>
  </r>
  <r>
    <s v="KL-2018-5607046"/>
    <x v="3"/>
    <x v="15"/>
    <x v="1"/>
    <x v="8"/>
    <x v="8"/>
    <x v="0"/>
    <n v="2946"/>
    <n v="2210"/>
  </r>
  <r>
    <s v="KL-2018-5607047"/>
    <x v="3"/>
    <x v="16"/>
    <x v="6"/>
    <x v="9"/>
    <x v="9"/>
    <x v="0"/>
    <n v="2989"/>
    <n v="2212"/>
  </r>
  <r>
    <s v="KL-2018-5607048"/>
    <x v="4"/>
    <x v="17"/>
    <x v="6"/>
    <x v="9"/>
    <x v="9"/>
    <x v="0"/>
    <n v="3463"/>
    <n v="2770"/>
  </r>
  <r>
    <s v="KL-2018-5607049"/>
    <x v="4"/>
    <x v="18"/>
    <x v="4"/>
    <x v="5"/>
    <x v="10"/>
    <x v="2"/>
    <n v="2677"/>
    <n v="2088"/>
  </r>
  <r>
    <s v="KL-2018-5607050"/>
    <x v="5"/>
    <x v="19"/>
    <x v="4"/>
    <x v="5"/>
    <x v="10"/>
    <x v="2"/>
    <n v="2966"/>
    <n v="1928"/>
  </r>
  <r>
    <s v="KL-2018-5607051"/>
    <x v="5"/>
    <x v="20"/>
    <x v="4"/>
    <x v="5"/>
    <x v="10"/>
    <x v="2"/>
    <n v="2106"/>
    <n v="1516"/>
  </r>
  <r>
    <s v="KL-2018-5607031"/>
    <x v="5"/>
    <x v="0"/>
    <x v="0"/>
    <x v="0"/>
    <x v="0"/>
    <x v="0"/>
    <n v="3664"/>
    <n v="2272"/>
  </r>
  <r>
    <s v="KL-2018-5607032"/>
    <x v="6"/>
    <x v="1"/>
    <x v="0"/>
    <x v="0"/>
    <x v="0"/>
    <x v="0"/>
    <n v="3069"/>
    <n v="2240"/>
  </r>
  <r>
    <s v="KL-2018-5607033"/>
    <x v="6"/>
    <x v="2"/>
    <x v="0"/>
    <x v="0"/>
    <x v="0"/>
    <x v="0"/>
    <n v="3755"/>
    <n v="2516"/>
  </r>
  <r>
    <s v="KL-2018-5607034"/>
    <x v="6"/>
    <x v="3"/>
    <x v="1"/>
    <x v="1"/>
    <x v="1"/>
    <x v="0"/>
    <n v="3215"/>
    <n v="2058"/>
  </r>
  <r>
    <s v="KL-2018-5607035"/>
    <x v="6"/>
    <x v="4"/>
    <x v="1"/>
    <x v="1"/>
    <x v="1"/>
    <x v="0"/>
    <n v="3685"/>
    <n v="2543"/>
  </r>
  <r>
    <s v="KL-2018-5607036"/>
    <x v="6"/>
    <x v="5"/>
    <x v="1"/>
    <x v="1"/>
    <x v="1"/>
    <x v="0"/>
    <n v="4015"/>
    <n v="2730"/>
  </r>
  <r>
    <s v="KL-2018-5607037"/>
    <x v="6"/>
    <x v="6"/>
    <x v="1"/>
    <x v="1"/>
    <x v="1"/>
    <x v="0"/>
    <n v="2517"/>
    <n v="1661"/>
  </r>
  <r>
    <s v="KL-2018-5607038"/>
    <x v="7"/>
    <x v="7"/>
    <x v="1"/>
    <x v="1"/>
    <x v="1"/>
    <x v="0"/>
    <n v="2598"/>
    <n v="1793"/>
  </r>
  <r>
    <s v="KL-2018-5607039"/>
    <x v="7"/>
    <x v="8"/>
    <x v="2"/>
    <x v="2"/>
    <x v="2"/>
    <x v="1"/>
    <n v="3513"/>
    <n v="2740"/>
  </r>
  <r>
    <s v="KL-2018-5607040"/>
    <x v="7"/>
    <x v="9"/>
    <x v="3"/>
    <x v="3"/>
    <x v="3"/>
    <x v="2"/>
    <n v="2247"/>
    <n v="1775"/>
  </r>
  <r>
    <s v="KL-2018-5607041"/>
    <x v="8"/>
    <x v="10"/>
    <x v="2"/>
    <x v="4"/>
    <x v="4"/>
    <x v="1"/>
    <n v="2878"/>
    <n v="1784"/>
  </r>
  <r>
    <s v="KL-2018-5607042"/>
    <x v="8"/>
    <x v="11"/>
    <x v="4"/>
    <x v="5"/>
    <x v="5"/>
    <x v="2"/>
    <n v="3425"/>
    <n v="2706"/>
  </r>
  <r>
    <s v="KL-2018-5607043"/>
    <x v="8"/>
    <x v="12"/>
    <x v="4"/>
    <x v="6"/>
    <x v="6"/>
    <x v="2"/>
    <n v="2865"/>
    <n v="2091"/>
  </r>
  <r>
    <s v="KL-2018-5607044"/>
    <x v="9"/>
    <x v="13"/>
    <x v="4"/>
    <x v="6"/>
    <x v="6"/>
    <x v="2"/>
    <n v="2393"/>
    <n v="1723"/>
  </r>
  <r>
    <s v="KL-2018-5607045"/>
    <x v="9"/>
    <x v="14"/>
    <x v="5"/>
    <x v="7"/>
    <x v="7"/>
    <x v="0"/>
    <n v="3149"/>
    <n v="2299"/>
  </r>
  <r>
    <s v="KL-2018-5607046"/>
    <x v="9"/>
    <x v="15"/>
    <x v="1"/>
    <x v="8"/>
    <x v="8"/>
    <x v="0"/>
    <n v="3277"/>
    <n v="2130"/>
  </r>
  <r>
    <s v="KL-2018-5607047"/>
    <x v="9"/>
    <x v="16"/>
    <x v="6"/>
    <x v="9"/>
    <x v="9"/>
    <x v="0"/>
    <n v="2713"/>
    <n v="1682"/>
  </r>
  <r>
    <s v="KL-2018-5607048"/>
    <x v="10"/>
    <x v="17"/>
    <x v="6"/>
    <x v="9"/>
    <x v="9"/>
    <x v="0"/>
    <n v="3381"/>
    <n v="2231"/>
  </r>
  <r>
    <s v="KL-2018-5607049"/>
    <x v="10"/>
    <x v="18"/>
    <x v="4"/>
    <x v="5"/>
    <x v="10"/>
    <x v="2"/>
    <n v="2545"/>
    <n v="2011"/>
  </r>
  <r>
    <s v="KL-2018-5607050"/>
    <x v="10"/>
    <x v="19"/>
    <x v="4"/>
    <x v="5"/>
    <x v="10"/>
    <x v="2"/>
    <n v="4473"/>
    <n v="2729"/>
  </r>
  <r>
    <s v="KL-2018-5607051"/>
    <x v="10"/>
    <x v="20"/>
    <x v="4"/>
    <x v="5"/>
    <x v="10"/>
    <x v="2"/>
    <n v="3332"/>
    <n v="2132"/>
  </r>
  <r>
    <s v="KL-2018-5607031"/>
    <x v="11"/>
    <x v="0"/>
    <x v="0"/>
    <x v="0"/>
    <x v="0"/>
    <x v="0"/>
    <n v="2283"/>
    <n v="1438"/>
  </r>
  <r>
    <s v="KL-2018-5607032"/>
    <x v="11"/>
    <x v="1"/>
    <x v="0"/>
    <x v="0"/>
    <x v="0"/>
    <x v="0"/>
    <n v="2696"/>
    <n v="1833"/>
  </r>
  <r>
    <s v="KL-2018-5607033"/>
    <x v="11"/>
    <x v="2"/>
    <x v="0"/>
    <x v="0"/>
    <x v="0"/>
    <x v="0"/>
    <n v="4061"/>
    <n v="3127"/>
  </r>
  <r>
    <s v="KL-2018-5607034"/>
    <x v="11"/>
    <x v="3"/>
    <x v="1"/>
    <x v="1"/>
    <x v="1"/>
    <x v="0"/>
    <n v="2382"/>
    <n v="1548"/>
  </r>
  <r>
    <s v="KL-2018-5607035"/>
    <x v="11"/>
    <x v="4"/>
    <x v="1"/>
    <x v="1"/>
    <x v="1"/>
    <x v="0"/>
    <n v="4336"/>
    <n v="2602"/>
  </r>
  <r>
    <s v="KL-2018-5607036"/>
    <x v="11"/>
    <x v="5"/>
    <x v="1"/>
    <x v="1"/>
    <x v="1"/>
    <x v="0"/>
    <n v="2602"/>
    <n v="2004"/>
  </r>
  <r>
    <s v="KL-2018-5607037"/>
    <x v="12"/>
    <x v="6"/>
    <x v="1"/>
    <x v="1"/>
    <x v="1"/>
    <x v="0"/>
    <n v="3094"/>
    <n v="2073"/>
  </r>
  <r>
    <s v="KL-2018-5607038"/>
    <x v="12"/>
    <x v="7"/>
    <x v="1"/>
    <x v="1"/>
    <x v="1"/>
    <x v="0"/>
    <n v="3510"/>
    <n v="2141"/>
  </r>
  <r>
    <s v="KL-2018-5607039"/>
    <x v="12"/>
    <x v="8"/>
    <x v="2"/>
    <x v="2"/>
    <x v="2"/>
    <x v="1"/>
    <n v="2134"/>
    <n v="1536"/>
  </r>
  <r>
    <s v="KL-2018-5607040"/>
    <x v="12"/>
    <x v="9"/>
    <x v="3"/>
    <x v="3"/>
    <x v="3"/>
    <x v="2"/>
    <n v="2661"/>
    <n v="2022"/>
  </r>
  <r>
    <s v="KL-2018-5607041"/>
    <x v="12"/>
    <x v="10"/>
    <x v="2"/>
    <x v="4"/>
    <x v="4"/>
    <x v="1"/>
    <n v="2901"/>
    <n v="1741"/>
  </r>
  <r>
    <s v="KL-2018-5607042"/>
    <x v="12"/>
    <x v="11"/>
    <x v="4"/>
    <x v="5"/>
    <x v="5"/>
    <x v="2"/>
    <n v="3784"/>
    <n v="2384"/>
  </r>
  <r>
    <s v="KL-2018-5607043"/>
    <x v="13"/>
    <x v="12"/>
    <x v="4"/>
    <x v="6"/>
    <x v="6"/>
    <x v="2"/>
    <n v="3135"/>
    <n v="2445"/>
  </r>
  <r>
    <s v="KL-2018-5607044"/>
    <x v="13"/>
    <x v="13"/>
    <x v="4"/>
    <x v="6"/>
    <x v="6"/>
    <x v="2"/>
    <n v="2802"/>
    <n v="1877"/>
  </r>
  <r>
    <s v="KL-2018-5607045"/>
    <x v="13"/>
    <x v="14"/>
    <x v="5"/>
    <x v="7"/>
    <x v="7"/>
    <x v="0"/>
    <n v="3486"/>
    <n v="2789"/>
  </r>
  <r>
    <s v="KL-2018-5607046"/>
    <x v="13"/>
    <x v="15"/>
    <x v="1"/>
    <x v="8"/>
    <x v="8"/>
    <x v="0"/>
    <n v="3422"/>
    <n v="2122"/>
  </r>
  <r>
    <s v="KL-2018-5607047"/>
    <x v="13"/>
    <x v="16"/>
    <x v="6"/>
    <x v="9"/>
    <x v="9"/>
    <x v="0"/>
    <n v="2842"/>
    <n v="2188"/>
  </r>
  <r>
    <s v="KL-2018-5607048"/>
    <x v="14"/>
    <x v="17"/>
    <x v="6"/>
    <x v="9"/>
    <x v="9"/>
    <x v="0"/>
    <n v="3846"/>
    <n v="2500"/>
  </r>
  <r>
    <s v="KL-2018-5607049"/>
    <x v="14"/>
    <x v="18"/>
    <x v="4"/>
    <x v="5"/>
    <x v="10"/>
    <x v="2"/>
    <n v="3131"/>
    <n v="2380"/>
  </r>
  <r>
    <s v="KL-2018-5607050"/>
    <x v="15"/>
    <x v="19"/>
    <x v="4"/>
    <x v="5"/>
    <x v="10"/>
    <x v="2"/>
    <n v="3825"/>
    <n v="2333"/>
  </r>
  <r>
    <s v="KL-2018-5607051"/>
    <x v="15"/>
    <x v="20"/>
    <x v="4"/>
    <x v="5"/>
    <x v="10"/>
    <x v="2"/>
    <n v="4362"/>
    <n v="344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5">
  <r>
    <x v="0"/>
    <x v="0"/>
    <x v="0"/>
    <x v="0"/>
    <x v="0"/>
    <s v="Vienna"/>
    <x v="0"/>
    <n v="2934"/>
    <n v="1819"/>
  </r>
  <r>
    <x v="1"/>
    <x v="1"/>
    <x v="1"/>
    <x v="0"/>
    <x v="0"/>
    <s v="Vienna"/>
    <x v="0"/>
    <n v="4354"/>
    <n v="2787"/>
  </r>
  <r>
    <x v="2"/>
    <x v="2"/>
    <x v="2"/>
    <x v="0"/>
    <x v="0"/>
    <s v="Vienna"/>
    <x v="0"/>
    <n v="2102"/>
    <n v="1534"/>
  </r>
  <r>
    <x v="3"/>
    <x v="3"/>
    <x v="3"/>
    <x v="1"/>
    <x v="1"/>
    <s v="Langen"/>
    <x v="0"/>
    <n v="3261"/>
    <n v="2446"/>
  </r>
  <r>
    <x v="4"/>
    <x v="4"/>
    <x v="4"/>
    <x v="1"/>
    <x v="1"/>
    <s v="Langen"/>
    <x v="0"/>
    <n v="2577"/>
    <n v="1907"/>
  </r>
  <r>
    <x v="5"/>
    <x v="5"/>
    <x v="5"/>
    <x v="1"/>
    <x v="1"/>
    <s v="Langen"/>
    <x v="0"/>
    <n v="3131"/>
    <n v="1973"/>
  </r>
  <r>
    <x v="6"/>
    <x v="6"/>
    <x v="6"/>
    <x v="1"/>
    <x v="1"/>
    <s v="Langen"/>
    <x v="0"/>
    <n v="2683"/>
    <n v="1798"/>
  </r>
  <r>
    <x v="7"/>
    <x v="7"/>
    <x v="7"/>
    <x v="1"/>
    <x v="1"/>
    <s v="Langen"/>
    <x v="0"/>
    <n v="2613"/>
    <n v="1751"/>
  </r>
  <r>
    <x v="8"/>
    <x v="8"/>
    <x v="8"/>
    <x v="2"/>
    <x v="2"/>
    <s v="Copenhagen"/>
    <x v="1"/>
    <n v="4076"/>
    <n v="2609"/>
  </r>
  <r>
    <x v="9"/>
    <x v="9"/>
    <x v="9"/>
    <x v="3"/>
    <x v="3"/>
    <s v="Gandia"/>
    <x v="2"/>
    <n v="4400"/>
    <n v="3432"/>
  </r>
  <r>
    <x v="10"/>
    <x v="10"/>
    <x v="10"/>
    <x v="2"/>
    <x v="4"/>
    <s v="Esbjerg"/>
    <x v="1"/>
    <n v="2466"/>
    <n v="1603"/>
  </r>
  <r>
    <x v="11"/>
    <x v="11"/>
    <x v="11"/>
    <x v="4"/>
    <x v="5"/>
    <s v="Mumbai"/>
    <x v="2"/>
    <n v="2137"/>
    <n v="1325"/>
  </r>
  <r>
    <x v="12"/>
    <x v="12"/>
    <x v="12"/>
    <x v="4"/>
    <x v="6"/>
    <s v="Patna"/>
    <x v="2"/>
    <n v="4216"/>
    <n v="3162"/>
  </r>
  <r>
    <x v="13"/>
    <x v="13"/>
    <x v="13"/>
    <x v="4"/>
    <x v="6"/>
    <s v="Patna"/>
    <x v="2"/>
    <n v="3165"/>
    <n v="2310"/>
  </r>
  <r>
    <x v="14"/>
    <x v="14"/>
    <x v="14"/>
    <x v="5"/>
    <x v="7"/>
    <s v="Villiers-sur-Marne"/>
    <x v="0"/>
    <n v="3263"/>
    <n v="2545"/>
  </r>
  <r>
    <x v="15"/>
    <x v="15"/>
    <x v="15"/>
    <x v="1"/>
    <x v="8"/>
    <s v="Bielefeld"/>
    <x v="0"/>
    <n v="2946"/>
    <n v="2210"/>
  </r>
  <r>
    <x v="16"/>
    <x v="16"/>
    <x v="16"/>
    <x v="6"/>
    <x v="9"/>
    <s v="Leuven"/>
    <x v="0"/>
    <n v="2989"/>
    <n v="2212"/>
  </r>
  <r>
    <x v="17"/>
    <x v="17"/>
    <x v="17"/>
    <x v="6"/>
    <x v="9"/>
    <s v="Leuven"/>
    <x v="0"/>
    <n v="3463"/>
    <n v="2770"/>
  </r>
  <r>
    <x v="18"/>
    <x v="18"/>
    <x v="18"/>
    <x v="4"/>
    <x v="5"/>
    <s v="Pune"/>
    <x v="2"/>
    <n v="2677"/>
    <n v="2088"/>
  </r>
  <r>
    <x v="19"/>
    <x v="19"/>
    <x v="19"/>
    <x v="4"/>
    <x v="5"/>
    <s v="Pune"/>
    <x v="2"/>
    <n v="2966"/>
    <n v="1928"/>
  </r>
  <r>
    <x v="20"/>
    <x v="20"/>
    <x v="20"/>
    <x v="4"/>
    <x v="5"/>
    <s v="Pune"/>
    <x v="2"/>
    <n v="2106"/>
    <n v="1516"/>
  </r>
  <r>
    <x v="0"/>
    <x v="21"/>
    <x v="0"/>
    <x v="0"/>
    <x v="0"/>
    <s v="Vienna"/>
    <x v="0"/>
    <n v="3664"/>
    <n v="2272"/>
  </r>
  <r>
    <x v="1"/>
    <x v="22"/>
    <x v="1"/>
    <x v="0"/>
    <x v="0"/>
    <s v="Vienna"/>
    <x v="0"/>
    <n v="3069"/>
    <n v="2240"/>
  </r>
  <r>
    <x v="2"/>
    <x v="23"/>
    <x v="2"/>
    <x v="0"/>
    <x v="0"/>
    <s v="Vienna"/>
    <x v="0"/>
    <n v="3755"/>
    <n v="2516"/>
  </r>
  <r>
    <x v="3"/>
    <x v="24"/>
    <x v="3"/>
    <x v="1"/>
    <x v="1"/>
    <s v="Langen"/>
    <x v="0"/>
    <n v="3215"/>
    <n v="2058"/>
  </r>
  <r>
    <x v="4"/>
    <x v="25"/>
    <x v="4"/>
    <x v="1"/>
    <x v="1"/>
    <s v="Langen"/>
    <x v="0"/>
    <n v="3685"/>
    <n v="2543"/>
  </r>
  <r>
    <x v="5"/>
    <x v="26"/>
    <x v="5"/>
    <x v="1"/>
    <x v="1"/>
    <s v="Langen"/>
    <x v="0"/>
    <n v="4015"/>
    <n v="2730"/>
  </r>
  <r>
    <x v="6"/>
    <x v="27"/>
    <x v="6"/>
    <x v="1"/>
    <x v="1"/>
    <s v="Langen"/>
    <x v="0"/>
    <n v="2517"/>
    <n v="1661"/>
  </r>
  <r>
    <x v="7"/>
    <x v="28"/>
    <x v="7"/>
    <x v="1"/>
    <x v="1"/>
    <s v="Langen"/>
    <x v="0"/>
    <n v="2598"/>
    <n v="1793"/>
  </r>
  <r>
    <x v="8"/>
    <x v="29"/>
    <x v="8"/>
    <x v="2"/>
    <x v="2"/>
    <s v="Copenhagen"/>
    <x v="1"/>
    <n v="3513"/>
    <n v="2740"/>
  </r>
  <r>
    <x v="9"/>
    <x v="30"/>
    <x v="9"/>
    <x v="3"/>
    <x v="3"/>
    <s v="Gandia"/>
    <x v="2"/>
    <n v="2247"/>
    <n v="1775"/>
  </r>
  <r>
    <x v="10"/>
    <x v="31"/>
    <x v="10"/>
    <x v="2"/>
    <x v="4"/>
    <s v="Esbjerg"/>
    <x v="1"/>
    <n v="2878"/>
    <n v="1784"/>
  </r>
  <r>
    <x v="11"/>
    <x v="32"/>
    <x v="11"/>
    <x v="4"/>
    <x v="5"/>
    <s v="Mumbai"/>
    <x v="2"/>
    <n v="3425"/>
    <n v="2706"/>
  </r>
  <r>
    <x v="12"/>
    <x v="33"/>
    <x v="12"/>
    <x v="4"/>
    <x v="6"/>
    <s v="Patna"/>
    <x v="2"/>
    <n v="2865"/>
    <n v="2091"/>
  </r>
  <r>
    <x v="13"/>
    <x v="34"/>
    <x v="13"/>
    <x v="4"/>
    <x v="6"/>
    <s v="Patna"/>
    <x v="2"/>
    <n v="2393"/>
    <n v="1723"/>
  </r>
  <r>
    <x v="14"/>
    <x v="35"/>
    <x v="14"/>
    <x v="5"/>
    <x v="7"/>
    <s v="Villiers-sur-Marne"/>
    <x v="0"/>
    <n v="3149"/>
    <n v="2299"/>
  </r>
  <r>
    <x v="15"/>
    <x v="36"/>
    <x v="15"/>
    <x v="1"/>
    <x v="8"/>
    <s v="Bielefeld"/>
    <x v="0"/>
    <n v="3277"/>
    <n v="2130"/>
  </r>
  <r>
    <x v="16"/>
    <x v="37"/>
    <x v="16"/>
    <x v="6"/>
    <x v="9"/>
    <s v="Leuven"/>
    <x v="0"/>
    <n v="2713"/>
    <n v="1682"/>
  </r>
  <r>
    <x v="17"/>
    <x v="38"/>
    <x v="17"/>
    <x v="6"/>
    <x v="9"/>
    <s v="Leuven"/>
    <x v="0"/>
    <n v="3381"/>
    <n v="2231"/>
  </r>
  <r>
    <x v="18"/>
    <x v="39"/>
    <x v="18"/>
    <x v="4"/>
    <x v="5"/>
    <s v="Pune"/>
    <x v="2"/>
    <n v="2545"/>
    <n v="2011"/>
  </r>
  <r>
    <x v="19"/>
    <x v="40"/>
    <x v="19"/>
    <x v="4"/>
    <x v="5"/>
    <s v="Pune"/>
    <x v="2"/>
    <n v="4473"/>
    <n v="2729"/>
  </r>
  <r>
    <x v="20"/>
    <x v="41"/>
    <x v="20"/>
    <x v="4"/>
    <x v="5"/>
    <s v="Pune"/>
    <x v="2"/>
    <n v="3332"/>
    <n v="2132"/>
  </r>
  <r>
    <x v="0"/>
    <x v="42"/>
    <x v="0"/>
    <x v="0"/>
    <x v="0"/>
    <s v="Vienna"/>
    <x v="0"/>
    <n v="2283"/>
    <n v="1438"/>
  </r>
  <r>
    <x v="1"/>
    <x v="43"/>
    <x v="1"/>
    <x v="0"/>
    <x v="0"/>
    <s v="Vienna"/>
    <x v="0"/>
    <n v="2696"/>
    <n v="1833"/>
  </r>
  <r>
    <x v="2"/>
    <x v="44"/>
    <x v="2"/>
    <x v="0"/>
    <x v="0"/>
    <s v="Vienna"/>
    <x v="0"/>
    <n v="4061"/>
    <n v="3127"/>
  </r>
  <r>
    <x v="3"/>
    <x v="45"/>
    <x v="3"/>
    <x v="1"/>
    <x v="1"/>
    <s v="Langen"/>
    <x v="0"/>
    <n v="2382"/>
    <n v="1548"/>
  </r>
  <r>
    <x v="4"/>
    <x v="46"/>
    <x v="4"/>
    <x v="1"/>
    <x v="1"/>
    <s v="Langen"/>
    <x v="0"/>
    <n v="4336"/>
    <n v="2602"/>
  </r>
  <r>
    <x v="5"/>
    <x v="47"/>
    <x v="5"/>
    <x v="1"/>
    <x v="1"/>
    <s v="Langen"/>
    <x v="0"/>
    <n v="2602"/>
    <n v="2004"/>
  </r>
  <r>
    <x v="6"/>
    <x v="48"/>
    <x v="6"/>
    <x v="1"/>
    <x v="1"/>
    <s v="Langen"/>
    <x v="0"/>
    <n v="3094"/>
    <n v="2073"/>
  </r>
  <r>
    <x v="7"/>
    <x v="49"/>
    <x v="7"/>
    <x v="1"/>
    <x v="1"/>
    <s v="Langen"/>
    <x v="0"/>
    <n v="3510"/>
    <n v="2141"/>
  </r>
  <r>
    <x v="8"/>
    <x v="50"/>
    <x v="8"/>
    <x v="2"/>
    <x v="2"/>
    <s v="Copenhagen"/>
    <x v="1"/>
    <n v="2134"/>
    <n v="1536"/>
  </r>
  <r>
    <x v="9"/>
    <x v="51"/>
    <x v="9"/>
    <x v="3"/>
    <x v="3"/>
    <s v="Gandia"/>
    <x v="2"/>
    <n v="2661"/>
    <n v="2022"/>
  </r>
  <r>
    <x v="10"/>
    <x v="52"/>
    <x v="10"/>
    <x v="2"/>
    <x v="4"/>
    <s v="Esbjerg"/>
    <x v="1"/>
    <n v="2901"/>
    <n v="1741"/>
  </r>
  <r>
    <x v="11"/>
    <x v="53"/>
    <x v="11"/>
    <x v="4"/>
    <x v="5"/>
    <s v="Mumbai"/>
    <x v="2"/>
    <n v="3784"/>
    <n v="2384"/>
  </r>
  <r>
    <x v="12"/>
    <x v="54"/>
    <x v="12"/>
    <x v="4"/>
    <x v="6"/>
    <s v="Patna"/>
    <x v="2"/>
    <n v="3135"/>
    <n v="2445"/>
  </r>
  <r>
    <x v="13"/>
    <x v="55"/>
    <x v="13"/>
    <x v="4"/>
    <x v="6"/>
    <s v="Patna"/>
    <x v="2"/>
    <n v="2802"/>
    <n v="1877"/>
  </r>
  <r>
    <x v="14"/>
    <x v="56"/>
    <x v="14"/>
    <x v="5"/>
    <x v="7"/>
    <s v="Villiers-sur-Marne"/>
    <x v="0"/>
    <n v="3486"/>
    <n v="2789"/>
  </r>
  <r>
    <x v="15"/>
    <x v="57"/>
    <x v="15"/>
    <x v="1"/>
    <x v="8"/>
    <s v="Bielefeld"/>
    <x v="0"/>
    <n v="3422"/>
    <n v="2122"/>
  </r>
  <r>
    <x v="16"/>
    <x v="58"/>
    <x v="16"/>
    <x v="6"/>
    <x v="9"/>
    <s v="Leuven"/>
    <x v="0"/>
    <n v="2842"/>
    <n v="2188"/>
  </r>
  <r>
    <x v="17"/>
    <x v="59"/>
    <x v="17"/>
    <x v="6"/>
    <x v="9"/>
    <s v="Leuven"/>
    <x v="0"/>
    <n v="3846"/>
    <n v="2500"/>
  </r>
  <r>
    <x v="18"/>
    <x v="60"/>
    <x v="18"/>
    <x v="4"/>
    <x v="5"/>
    <s v="Pune"/>
    <x v="2"/>
    <n v="3131"/>
    <n v="2380"/>
  </r>
  <r>
    <x v="19"/>
    <x v="61"/>
    <x v="19"/>
    <x v="4"/>
    <x v="5"/>
    <s v="Pune"/>
    <x v="2"/>
    <n v="3825"/>
    <n v="2333"/>
  </r>
  <r>
    <x v="20"/>
    <x v="62"/>
    <x v="20"/>
    <x v="4"/>
    <x v="5"/>
    <s v="Pune"/>
    <x v="2"/>
    <n v="4362"/>
    <n v="3446"/>
  </r>
  <r>
    <x v="21"/>
    <x v="63"/>
    <x v="0"/>
    <x v="0"/>
    <x v="0"/>
    <s v="Vienna"/>
    <x v="0"/>
    <n v="2934"/>
    <n v="1819"/>
  </r>
  <r>
    <x v="22"/>
    <x v="64"/>
    <x v="1"/>
    <x v="0"/>
    <x v="0"/>
    <s v="Vienna"/>
    <x v="0"/>
    <n v="4354"/>
    <n v="2787"/>
  </r>
  <r>
    <x v="23"/>
    <x v="65"/>
    <x v="2"/>
    <x v="0"/>
    <x v="0"/>
    <s v="Vienna"/>
    <x v="0"/>
    <n v="2102"/>
    <n v="1534"/>
  </r>
  <r>
    <x v="24"/>
    <x v="66"/>
    <x v="3"/>
    <x v="1"/>
    <x v="1"/>
    <s v="Langen"/>
    <x v="0"/>
    <n v="3261"/>
    <n v="2446"/>
  </r>
  <r>
    <x v="25"/>
    <x v="67"/>
    <x v="4"/>
    <x v="1"/>
    <x v="1"/>
    <s v="Langen"/>
    <x v="0"/>
    <n v="2577"/>
    <n v="1907"/>
  </r>
  <r>
    <x v="26"/>
    <x v="68"/>
    <x v="5"/>
    <x v="1"/>
    <x v="1"/>
    <s v="Langen"/>
    <x v="0"/>
    <n v="3131"/>
    <n v="1973"/>
  </r>
  <r>
    <x v="27"/>
    <x v="69"/>
    <x v="6"/>
    <x v="1"/>
    <x v="1"/>
    <s v="Langen"/>
    <x v="0"/>
    <n v="2683"/>
    <n v="1798"/>
  </r>
  <r>
    <x v="28"/>
    <x v="70"/>
    <x v="7"/>
    <x v="1"/>
    <x v="1"/>
    <s v="Langen"/>
    <x v="0"/>
    <n v="2613"/>
    <n v="1751"/>
  </r>
  <r>
    <x v="29"/>
    <x v="71"/>
    <x v="8"/>
    <x v="2"/>
    <x v="2"/>
    <s v="Copenhagen"/>
    <x v="1"/>
    <n v="4076"/>
    <n v="2609"/>
  </r>
  <r>
    <x v="30"/>
    <x v="72"/>
    <x v="9"/>
    <x v="3"/>
    <x v="3"/>
    <s v="Gandia"/>
    <x v="2"/>
    <n v="4400"/>
    <n v="3432"/>
  </r>
  <r>
    <x v="31"/>
    <x v="73"/>
    <x v="10"/>
    <x v="2"/>
    <x v="4"/>
    <s v="Esbjerg"/>
    <x v="1"/>
    <n v="2466"/>
    <n v="1603"/>
  </r>
  <r>
    <x v="32"/>
    <x v="74"/>
    <x v="11"/>
    <x v="4"/>
    <x v="5"/>
    <s v="Mumbai"/>
    <x v="2"/>
    <n v="2137"/>
    <n v="1325"/>
  </r>
  <r>
    <x v="33"/>
    <x v="75"/>
    <x v="12"/>
    <x v="4"/>
    <x v="6"/>
    <s v="Patna"/>
    <x v="2"/>
    <n v="4216"/>
    <n v="3162"/>
  </r>
  <r>
    <x v="34"/>
    <x v="76"/>
    <x v="13"/>
    <x v="4"/>
    <x v="6"/>
    <s v="Patna"/>
    <x v="2"/>
    <n v="3165"/>
    <n v="2310"/>
  </r>
  <r>
    <x v="35"/>
    <x v="77"/>
    <x v="14"/>
    <x v="5"/>
    <x v="7"/>
    <s v="Villiers-sur-Marne"/>
    <x v="0"/>
    <n v="3263"/>
    <n v="2545"/>
  </r>
  <r>
    <x v="36"/>
    <x v="78"/>
    <x v="15"/>
    <x v="1"/>
    <x v="8"/>
    <s v="Bielefeld"/>
    <x v="0"/>
    <n v="2946"/>
    <n v="2210"/>
  </r>
  <r>
    <x v="37"/>
    <x v="79"/>
    <x v="16"/>
    <x v="6"/>
    <x v="9"/>
    <s v="Leuven"/>
    <x v="0"/>
    <n v="2989"/>
    <n v="2212"/>
  </r>
  <r>
    <x v="38"/>
    <x v="80"/>
    <x v="17"/>
    <x v="6"/>
    <x v="9"/>
    <s v="Leuven"/>
    <x v="0"/>
    <n v="3463"/>
    <n v="2770"/>
  </r>
  <r>
    <x v="39"/>
    <x v="81"/>
    <x v="18"/>
    <x v="4"/>
    <x v="5"/>
    <s v="Pune"/>
    <x v="2"/>
    <n v="2677"/>
    <n v="2088"/>
  </r>
  <r>
    <x v="40"/>
    <x v="82"/>
    <x v="19"/>
    <x v="4"/>
    <x v="5"/>
    <s v="Pune"/>
    <x v="2"/>
    <n v="2966"/>
    <n v="1928"/>
  </r>
  <r>
    <x v="41"/>
    <x v="83"/>
    <x v="20"/>
    <x v="4"/>
    <x v="5"/>
    <s v="Pune"/>
    <x v="2"/>
    <n v="2106"/>
    <n v="1516"/>
  </r>
  <r>
    <x v="42"/>
    <x v="84"/>
    <x v="0"/>
    <x v="0"/>
    <x v="0"/>
    <s v="Vienna"/>
    <x v="0"/>
    <n v="3664"/>
    <n v="2272"/>
  </r>
  <r>
    <x v="43"/>
    <x v="85"/>
    <x v="1"/>
    <x v="0"/>
    <x v="0"/>
    <s v="Vienna"/>
    <x v="0"/>
    <n v="3069"/>
    <n v="2240"/>
  </r>
  <r>
    <x v="44"/>
    <x v="86"/>
    <x v="2"/>
    <x v="0"/>
    <x v="0"/>
    <s v="Vienna"/>
    <x v="0"/>
    <n v="3755"/>
    <n v="2516"/>
  </r>
  <r>
    <x v="45"/>
    <x v="87"/>
    <x v="3"/>
    <x v="1"/>
    <x v="1"/>
    <s v="Langen"/>
    <x v="0"/>
    <n v="3215"/>
    <n v="2058"/>
  </r>
  <r>
    <x v="46"/>
    <x v="88"/>
    <x v="4"/>
    <x v="1"/>
    <x v="1"/>
    <s v="Langen"/>
    <x v="0"/>
    <n v="3685"/>
    <n v="2543"/>
  </r>
  <r>
    <x v="47"/>
    <x v="89"/>
    <x v="5"/>
    <x v="1"/>
    <x v="1"/>
    <s v="Langen"/>
    <x v="0"/>
    <n v="4015"/>
    <n v="2730"/>
  </r>
  <r>
    <x v="48"/>
    <x v="90"/>
    <x v="6"/>
    <x v="1"/>
    <x v="1"/>
    <s v="Langen"/>
    <x v="0"/>
    <n v="2517"/>
    <n v="1661"/>
  </r>
  <r>
    <x v="49"/>
    <x v="91"/>
    <x v="7"/>
    <x v="1"/>
    <x v="1"/>
    <s v="Langen"/>
    <x v="0"/>
    <n v="2598"/>
    <n v="1793"/>
  </r>
  <r>
    <x v="50"/>
    <x v="92"/>
    <x v="8"/>
    <x v="2"/>
    <x v="2"/>
    <s v="Copenhagen"/>
    <x v="1"/>
    <n v="3513"/>
    <n v="2740"/>
  </r>
  <r>
    <x v="51"/>
    <x v="93"/>
    <x v="9"/>
    <x v="3"/>
    <x v="3"/>
    <s v="Gandia"/>
    <x v="2"/>
    <n v="2247"/>
    <n v="1775"/>
  </r>
  <r>
    <x v="52"/>
    <x v="94"/>
    <x v="10"/>
    <x v="2"/>
    <x v="4"/>
    <s v="Esbjerg"/>
    <x v="1"/>
    <n v="2878"/>
    <n v="1784"/>
  </r>
  <r>
    <x v="53"/>
    <x v="95"/>
    <x v="11"/>
    <x v="4"/>
    <x v="5"/>
    <s v="Mumbai"/>
    <x v="2"/>
    <n v="3425"/>
    <n v="2706"/>
  </r>
  <r>
    <x v="54"/>
    <x v="96"/>
    <x v="12"/>
    <x v="4"/>
    <x v="6"/>
    <s v="Patna"/>
    <x v="2"/>
    <n v="2865"/>
    <n v="2091"/>
  </r>
  <r>
    <x v="55"/>
    <x v="97"/>
    <x v="13"/>
    <x v="4"/>
    <x v="6"/>
    <s v="Patna"/>
    <x v="2"/>
    <n v="2393"/>
    <n v="1723"/>
  </r>
  <r>
    <x v="56"/>
    <x v="98"/>
    <x v="14"/>
    <x v="5"/>
    <x v="7"/>
    <s v="Villiers-sur-Marne"/>
    <x v="0"/>
    <n v="3149"/>
    <n v="2299"/>
  </r>
  <r>
    <x v="57"/>
    <x v="99"/>
    <x v="15"/>
    <x v="1"/>
    <x v="8"/>
    <s v="Bielefeld"/>
    <x v="0"/>
    <n v="3277"/>
    <n v="2130"/>
  </r>
  <r>
    <x v="58"/>
    <x v="100"/>
    <x v="16"/>
    <x v="6"/>
    <x v="9"/>
    <s v="Leuven"/>
    <x v="0"/>
    <n v="2713"/>
    <n v="1682"/>
  </r>
  <r>
    <x v="59"/>
    <x v="101"/>
    <x v="17"/>
    <x v="6"/>
    <x v="9"/>
    <s v="Leuven"/>
    <x v="0"/>
    <n v="3381"/>
    <n v="2231"/>
  </r>
  <r>
    <x v="60"/>
    <x v="102"/>
    <x v="18"/>
    <x v="4"/>
    <x v="5"/>
    <s v="Pune"/>
    <x v="2"/>
    <n v="2545"/>
    <n v="2011"/>
  </r>
  <r>
    <x v="61"/>
    <x v="103"/>
    <x v="19"/>
    <x v="4"/>
    <x v="5"/>
    <s v="Pune"/>
    <x v="2"/>
    <n v="4473"/>
    <n v="2729"/>
  </r>
  <r>
    <x v="62"/>
    <x v="104"/>
    <x v="20"/>
    <x v="4"/>
    <x v="5"/>
    <s v="Pune"/>
    <x v="2"/>
    <n v="3332"/>
    <n v="2132"/>
  </r>
  <r>
    <x v="63"/>
    <x v="105"/>
    <x v="0"/>
    <x v="0"/>
    <x v="0"/>
    <s v="Vienna"/>
    <x v="0"/>
    <n v="2283"/>
    <n v="1438"/>
  </r>
  <r>
    <x v="64"/>
    <x v="106"/>
    <x v="1"/>
    <x v="0"/>
    <x v="0"/>
    <s v="Vienna"/>
    <x v="0"/>
    <n v="2696"/>
    <n v="1833"/>
  </r>
  <r>
    <x v="65"/>
    <x v="107"/>
    <x v="2"/>
    <x v="0"/>
    <x v="0"/>
    <s v="Vienna"/>
    <x v="0"/>
    <n v="4061"/>
    <n v="3127"/>
  </r>
  <r>
    <x v="66"/>
    <x v="108"/>
    <x v="3"/>
    <x v="1"/>
    <x v="1"/>
    <s v="Langen"/>
    <x v="0"/>
    <n v="2382"/>
    <n v="1548"/>
  </r>
  <r>
    <x v="67"/>
    <x v="109"/>
    <x v="4"/>
    <x v="1"/>
    <x v="1"/>
    <s v="Langen"/>
    <x v="0"/>
    <n v="4336"/>
    <n v="2602"/>
  </r>
  <r>
    <x v="68"/>
    <x v="110"/>
    <x v="5"/>
    <x v="1"/>
    <x v="1"/>
    <s v="Langen"/>
    <x v="0"/>
    <n v="2602"/>
    <n v="2004"/>
  </r>
  <r>
    <x v="69"/>
    <x v="111"/>
    <x v="6"/>
    <x v="1"/>
    <x v="1"/>
    <s v="Langen"/>
    <x v="0"/>
    <n v="3094"/>
    <n v="2073"/>
  </r>
  <r>
    <x v="70"/>
    <x v="112"/>
    <x v="7"/>
    <x v="1"/>
    <x v="1"/>
    <s v="Langen"/>
    <x v="0"/>
    <n v="3510"/>
    <n v="2141"/>
  </r>
  <r>
    <x v="71"/>
    <x v="113"/>
    <x v="8"/>
    <x v="2"/>
    <x v="2"/>
    <s v="Copenhagen"/>
    <x v="1"/>
    <n v="2134"/>
    <n v="1536"/>
  </r>
  <r>
    <x v="72"/>
    <x v="114"/>
    <x v="9"/>
    <x v="3"/>
    <x v="3"/>
    <s v="Gandia"/>
    <x v="2"/>
    <n v="2661"/>
    <n v="2022"/>
  </r>
  <r>
    <x v="73"/>
    <x v="115"/>
    <x v="10"/>
    <x v="2"/>
    <x v="4"/>
    <s v="Esbjerg"/>
    <x v="1"/>
    <n v="2901"/>
    <n v="1741"/>
  </r>
  <r>
    <x v="74"/>
    <x v="116"/>
    <x v="11"/>
    <x v="4"/>
    <x v="5"/>
    <s v="Mumbai"/>
    <x v="2"/>
    <n v="3784"/>
    <n v="2384"/>
  </r>
  <r>
    <x v="75"/>
    <x v="117"/>
    <x v="12"/>
    <x v="4"/>
    <x v="6"/>
    <s v="Patna"/>
    <x v="2"/>
    <n v="3135"/>
    <n v="2445"/>
  </r>
  <r>
    <x v="76"/>
    <x v="118"/>
    <x v="13"/>
    <x v="4"/>
    <x v="6"/>
    <s v="Patna"/>
    <x v="2"/>
    <n v="2802"/>
    <n v="1877"/>
  </r>
  <r>
    <x v="77"/>
    <x v="119"/>
    <x v="14"/>
    <x v="5"/>
    <x v="7"/>
    <s v="Villiers-sur-Marne"/>
    <x v="0"/>
    <n v="3486"/>
    <n v="2789"/>
  </r>
  <r>
    <x v="78"/>
    <x v="120"/>
    <x v="15"/>
    <x v="1"/>
    <x v="8"/>
    <s v="Bielefeld"/>
    <x v="0"/>
    <n v="3422"/>
    <n v="2122"/>
  </r>
  <r>
    <x v="79"/>
    <x v="121"/>
    <x v="16"/>
    <x v="6"/>
    <x v="9"/>
    <s v="Leuven"/>
    <x v="0"/>
    <n v="2842"/>
    <n v="2188"/>
  </r>
  <r>
    <x v="80"/>
    <x v="122"/>
    <x v="17"/>
    <x v="6"/>
    <x v="9"/>
    <s v="Leuven"/>
    <x v="0"/>
    <n v="3846"/>
    <n v="2500"/>
  </r>
  <r>
    <x v="81"/>
    <x v="123"/>
    <x v="18"/>
    <x v="4"/>
    <x v="5"/>
    <s v="Pune"/>
    <x v="2"/>
    <n v="3131"/>
    <n v="2380"/>
  </r>
  <r>
    <x v="82"/>
    <x v="124"/>
    <x v="19"/>
    <x v="4"/>
    <x v="5"/>
    <s v="Pune"/>
    <x v="2"/>
    <n v="3825"/>
    <n v="2333"/>
  </r>
  <r>
    <x v="83"/>
    <x v="125"/>
    <x v="20"/>
    <x v="4"/>
    <x v="5"/>
    <s v="Pune"/>
    <x v="2"/>
    <n v="4362"/>
    <n v="3446"/>
  </r>
  <r>
    <x v="84"/>
    <x v="126"/>
    <x v="0"/>
    <x v="0"/>
    <x v="0"/>
    <s v="Vienna"/>
    <x v="0"/>
    <n v="2934"/>
    <n v="1819"/>
  </r>
  <r>
    <x v="85"/>
    <x v="127"/>
    <x v="1"/>
    <x v="0"/>
    <x v="0"/>
    <s v="Vienna"/>
    <x v="0"/>
    <n v="4354"/>
    <n v="2787"/>
  </r>
  <r>
    <x v="86"/>
    <x v="128"/>
    <x v="2"/>
    <x v="0"/>
    <x v="0"/>
    <s v="Vienna"/>
    <x v="0"/>
    <n v="2102"/>
    <n v="1534"/>
  </r>
  <r>
    <x v="87"/>
    <x v="129"/>
    <x v="3"/>
    <x v="1"/>
    <x v="1"/>
    <s v="Langen"/>
    <x v="0"/>
    <n v="3261"/>
    <n v="2446"/>
  </r>
  <r>
    <x v="88"/>
    <x v="130"/>
    <x v="4"/>
    <x v="1"/>
    <x v="1"/>
    <s v="Langen"/>
    <x v="0"/>
    <n v="2577"/>
    <n v="1907"/>
  </r>
  <r>
    <x v="89"/>
    <x v="131"/>
    <x v="5"/>
    <x v="1"/>
    <x v="1"/>
    <s v="Langen"/>
    <x v="0"/>
    <n v="3131"/>
    <n v="1973"/>
  </r>
  <r>
    <x v="90"/>
    <x v="132"/>
    <x v="6"/>
    <x v="1"/>
    <x v="1"/>
    <s v="Langen"/>
    <x v="0"/>
    <n v="2683"/>
    <n v="1798"/>
  </r>
  <r>
    <x v="91"/>
    <x v="133"/>
    <x v="7"/>
    <x v="1"/>
    <x v="1"/>
    <s v="Langen"/>
    <x v="0"/>
    <n v="2613"/>
    <n v="1751"/>
  </r>
  <r>
    <x v="92"/>
    <x v="134"/>
    <x v="8"/>
    <x v="2"/>
    <x v="2"/>
    <s v="Copenhagen"/>
    <x v="1"/>
    <n v="4076"/>
    <n v="2609"/>
  </r>
  <r>
    <x v="93"/>
    <x v="135"/>
    <x v="9"/>
    <x v="3"/>
    <x v="3"/>
    <s v="Gandia"/>
    <x v="2"/>
    <n v="4400"/>
    <n v="3432"/>
  </r>
  <r>
    <x v="94"/>
    <x v="136"/>
    <x v="10"/>
    <x v="2"/>
    <x v="4"/>
    <s v="Esbjerg"/>
    <x v="1"/>
    <n v="2466"/>
    <n v="1603"/>
  </r>
  <r>
    <x v="95"/>
    <x v="137"/>
    <x v="11"/>
    <x v="4"/>
    <x v="5"/>
    <s v="Mumbai"/>
    <x v="2"/>
    <n v="2137"/>
    <n v="1325"/>
  </r>
  <r>
    <x v="96"/>
    <x v="138"/>
    <x v="12"/>
    <x v="4"/>
    <x v="6"/>
    <s v="Patna"/>
    <x v="2"/>
    <n v="4216"/>
    <n v="3162"/>
  </r>
  <r>
    <x v="97"/>
    <x v="139"/>
    <x v="13"/>
    <x v="4"/>
    <x v="6"/>
    <s v="Patna"/>
    <x v="2"/>
    <n v="3165"/>
    <n v="2310"/>
  </r>
  <r>
    <x v="98"/>
    <x v="140"/>
    <x v="14"/>
    <x v="5"/>
    <x v="7"/>
    <s v="Villiers-sur-Marne"/>
    <x v="0"/>
    <n v="3263"/>
    <n v="2545"/>
  </r>
  <r>
    <x v="99"/>
    <x v="141"/>
    <x v="15"/>
    <x v="1"/>
    <x v="8"/>
    <s v="Bielefeld"/>
    <x v="0"/>
    <n v="2946"/>
    <n v="2210"/>
  </r>
  <r>
    <x v="100"/>
    <x v="142"/>
    <x v="16"/>
    <x v="6"/>
    <x v="9"/>
    <s v="Leuven"/>
    <x v="0"/>
    <n v="2989"/>
    <n v="2212"/>
  </r>
  <r>
    <x v="101"/>
    <x v="143"/>
    <x v="17"/>
    <x v="6"/>
    <x v="9"/>
    <s v="Leuven"/>
    <x v="0"/>
    <n v="3463"/>
    <n v="2770"/>
  </r>
  <r>
    <x v="102"/>
    <x v="144"/>
    <x v="18"/>
    <x v="4"/>
    <x v="5"/>
    <s v="Pune"/>
    <x v="2"/>
    <n v="2677"/>
    <n v="2088"/>
  </r>
  <r>
    <x v="103"/>
    <x v="145"/>
    <x v="19"/>
    <x v="4"/>
    <x v="5"/>
    <s v="Pune"/>
    <x v="2"/>
    <n v="2966"/>
    <n v="1928"/>
  </r>
  <r>
    <x v="104"/>
    <x v="146"/>
    <x v="20"/>
    <x v="4"/>
    <x v="5"/>
    <s v="Pune"/>
    <x v="2"/>
    <n v="2106"/>
    <n v="1516"/>
  </r>
  <r>
    <x v="105"/>
    <x v="147"/>
    <x v="0"/>
    <x v="0"/>
    <x v="0"/>
    <s v="Vienna"/>
    <x v="0"/>
    <n v="3664"/>
    <n v="2272"/>
  </r>
  <r>
    <x v="106"/>
    <x v="148"/>
    <x v="1"/>
    <x v="0"/>
    <x v="0"/>
    <s v="Vienna"/>
    <x v="0"/>
    <n v="3069"/>
    <n v="2240"/>
  </r>
  <r>
    <x v="107"/>
    <x v="149"/>
    <x v="2"/>
    <x v="0"/>
    <x v="0"/>
    <s v="Vienna"/>
    <x v="0"/>
    <n v="3755"/>
    <n v="2516"/>
  </r>
  <r>
    <x v="108"/>
    <x v="150"/>
    <x v="3"/>
    <x v="1"/>
    <x v="1"/>
    <s v="Langen"/>
    <x v="0"/>
    <n v="3215"/>
    <n v="2058"/>
  </r>
  <r>
    <x v="109"/>
    <x v="151"/>
    <x v="4"/>
    <x v="1"/>
    <x v="1"/>
    <s v="Langen"/>
    <x v="0"/>
    <n v="3685"/>
    <n v="2543"/>
  </r>
  <r>
    <x v="110"/>
    <x v="152"/>
    <x v="5"/>
    <x v="1"/>
    <x v="1"/>
    <s v="Langen"/>
    <x v="0"/>
    <n v="4015"/>
    <n v="2730"/>
  </r>
  <r>
    <x v="111"/>
    <x v="153"/>
    <x v="6"/>
    <x v="1"/>
    <x v="1"/>
    <s v="Langen"/>
    <x v="0"/>
    <n v="2517"/>
    <n v="1661"/>
  </r>
  <r>
    <x v="112"/>
    <x v="154"/>
    <x v="7"/>
    <x v="1"/>
    <x v="1"/>
    <s v="Langen"/>
    <x v="0"/>
    <n v="2598"/>
    <n v="1793"/>
  </r>
  <r>
    <x v="113"/>
    <x v="155"/>
    <x v="8"/>
    <x v="2"/>
    <x v="2"/>
    <s v="Copenhagen"/>
    <x v="1"/>
    <n v="3513"/>
    <n v="2740"/>
  </r>
  <r>
    <x v="114"/>
    <x v="156"/>
    <x v="9"/>
    <x v="3"/>
    <x v="3"/>
    <s v="Gandia"/>
    <x v="2"/>
    <n v="2247"/>
    <n v="1775"/>
  </r>
  <r>
    <x v="115"/>
    <x v="157"/>
    <x v="10"/>
    <x v="2"/>
    <x v="4"/>
    <s v="Esbjerg"/>
    <x v="1"/>
    <n v="2878"/>
    <n v="1784"/>
  </r>
  <r>
    <x v="116"/>
    <x v="158"/>
    <x v="11"/>
    <x v="4"/>
    <x v="5"/>
    <s v="Mumbai"/>
    <x v="2"/>
    <n v="3425"/>
    <n v="2706"/>
  </r>
  <r>
    <x v="117"/>
    <x v="159"/>
    <x v="12"/>
    <x v="4"/>
    <x v="6"/>
    <s v="Patna"/>
    <x v="2"/>
    <n v="2865"/>
    <n v="2091"/>
  </r>
  <r>
    <x v="118"/>
    <x v="160"/>
    <x v="13"/>
    <x v="4"/>
    <x v="6"/>
    <s v="Patna"/>
    <x v="2"/>
    <n v="2393"/>
    <n v="1723"/>
  </r>
  <r>
    <x v="119"/>
    <x v="161"/>
    <x v="14"/>
    <x v="5"/>
    <x v="7"/>
    <s v="Villiers-sur-Marne"/>
    <x v="0"/>
    <n v="3149"/>
    <n v="2299"/>
  </r>
  <r>
    <x v="120"/>
    <x v="162"/>
    <x v="15"/>
    <x v="1"/>
    <x v="8"/>
    <s v="Bielefeld"/>
    <x v="0"/>
    <n v="3277"/>
    <n v="2130"/>
  </r>
  <r>
    <x v="121"/>
    <x v="163"/>
    <x v="16"/>
    <x v="6"/>
    <x v="9"/>
    <s v="Leuven"/>
    <x v="0"/>
    <n v="2713"/>
    <n v="1682"/>
  </r>
  <r>
    <x v="122"/>
    <x v="164"/>
    <x v="17"/>
    <x v="6"/>
    <x v="9"/>
    <s v="Leuven"/>
    <x v="0"/>
    <n v="3381"/>
    <n v="2231"/>
  </r>
  <r>
    <x v="123"/>
    <x v="165"/>
    <x v="18"/>
    <x v="4"/>
    <x v="5"/>
    <s v="Pune"/>
    <x v="2"/>
    <n v="2545"/>
    <n v="2011"/>
  </r>
  <r>
    <x v="124"/>
    <x v="166"/>
    <x v="19"/>
    <x v="4"/>
    <x v="5"/>
    <s v="Pune"/>
    <x v="2"/>
    <n v="4473"/>
    <n v="2729"/>
  </r>
  <r>
    <x v="125"/>
    <x v="167"/>
    <x v="20"/>
    <x v="4"/>
    <x v="5"/>
    <s v="Pune"/>
    <x v="2"/>
    <n v="3332"/>
    <n v="2132"/>
  </r>
  <r>
    <x v="126"/>
    <x v="168"/>
    <x v="0"/>
    <x v="0"/>
    <x v="0"/>
    <s v="Vienna"/>
    <x v="0"/>
    <n v="2283"/>
    <n v="1438"/>
  </r>
  <r>
    <x v="127"/>
    <x v="169"/>
    <x v="1"/>
    <x v="0"/>
    <x v="0"/>
    <s v="Vienna"/>
    <x v="0"/>
    <n v="2696"/>
    <n v="1833"/>
  </r>
  <r>
    <x v="128"/>
    <x v="170"/>
    <x v="2"/>
    <x v="0"/>
    <x v="0"/>
    <s v="Vienna"/>
    <x v="0"/>
    <n v="4061"/>
    <n v="3127"/>
  </r>
  <r>
    <x v="129"/>
    <x v="171"/>
    <x v="3"/>
    <x v="1"/>
    <x v="1"/>
    <s v="Langen"/>
    <x v="0"/>
    <n v="2382"/>
    <n v="1548"/>
  </r>
  <r>
    <x v="130"/>
    <x v="172"/>
    <x v="4"/>
    <x v="1"/>
    <x v="1"/>
    <s v="Langen"/>
    <x v="0"/>
    <n v="4336"/>
    <n v="2602"/>
  </r>
  <r>
    <x v="131"/>
    <x v="173"/>
    <x v="5"/>
    <x v="1"/>
    <x v="1"/>
    <s v="Langen"/>
    <x v="0"/>
    <n v="2602"/>
    <n v="2004"/>
  </r>
  <r>
    <x v="132"/>
    <x v="174"/>
    <x v="6"/>
    <x v="1"/>
    <x v="1"/>
    <s v="Langen"/>
    <x v="0"/>
    <n v="3094"/>
    <n v="2073"/>
  </r>
  <r>
    <x v="133"/>
    <x v="175"/>
    <x v="7"/>
    <x v="1"/>
    <x v="1"/>
    <s v="Langen"/>
    <x v="0"/>
    <n v="3510"/>
    <n v="2141"/>
  </r>
  <r>
    <x v="134"/>
    <x v="176"/>
    <x v="8"/>
    <x v="2"/>
    <x v="2"/>
    <s v="Copenhagen"/>
    <x v="1"/>
    <n v="2134"/>
    <n v="1536"/>
  </r>
  <r>
    <x v="135"/>
    <x v="177"/>
    <x v="9"/>
    <x v="3"/>
    <x v="3"/>
    <s v="Gandia"/>
    <x v="2"/>
    <n v="2661"/>
    <n v="2022"/>
  </r>
  <r>
    <x v="136"/>
    <x v="178"/>
    <x v="10"/>
    <x v="2"/>
    <x v="4"/>
    <s v="Esbjerg"/>
    <x v="1"/>
    <n v="2901"/>
    <n v="1741"/>
  </r>
  <r>
    <x v="137"/>
    <x v="179"/>
    <x v="11"/>
    <x v="4"/>
    <x v="5"/>
    <s v="Mumbai"/>
    <x v="2"/>
    <n v="3784"/>
    <n v="2384"/>
  </r>
  <r>
    <x v="138"/>
    <x v="180"/>
    <x v="12"/>
    <x v="4"/>
    <x v="6"/>
    <s v="Patna"/>
    <x v="2"/>
    <n v="3135"/>
    <n v="2445"/>
  </r>
  <r>
    <x v="139"/>
    <x v="181"/>
    <x v="13"/>
    <x v="4"/>
    <x v="6"/>
    <s v="Patna"/>
    <x v="2"/>
    <n v="2802"/>
    <n v="1877"/>
  </r>
  <r>
    <x v="140"/>
    <x v="182"/>
    <x v="14"/>
    <x v="5"/>
    <x v="7"/>
    <s v="Villiers-sur-Marne"/>
    <x v="0"/>
    <n v="3486"/>
    <n v="2789"/>
  </r>
  <r>
    <x v="141"/>
    <x v="183"/>
    <x v="15"/>
    <x v="1"/>
    <x v="8"/>
    <s v="Bielefeld"/>
    <x v="0"/>
    <n v="3422"/>
    <n v="2122"/>
  </r>
  <r>
    <x v="142"/>
    <x v="184"/>
    <x v="16"/>
    <x v="6"/>
    <x v="9"/>
    <s v="Leuven"/>
    <x v="0"/>
    <n v="2842"/>
    <n v="2188"/>
  </r>
  <r>
    <x v="143"/>
    <x v="185"/>
    <x v="17"/>
    <x v="6"/>
    <x v="9"/>
    <s v="Leuven"/>
    <x v="0"/>
    <n v="3846"/>
    <n v="2500"/>
  </r>
  <r>
    <x v="144"/>
    <x v="186"/>
    <x v="18"/>
    <x v="4"/>
    <x v="5"/>
    <s v="Pune"/>
    <x v="2"/>
    <n v="3131"/>
    <n v="2380"/>
  </r>
  <r>
    <x v="145"/>
    <x v="187"/>
    <x v="19"/>
    <x v="4"/>
    <x v="5"/>
    <s v="Pune"/>
    <x v="2"/>
    <n v="3825"/>
    <n v="2333"/>
  </r>
  <r>
    <x v="146"/>
    <x v="188"/>
    <x v="20"/>
    <x v="4"/>
    <x v="5"/>
    <s v="Pune"/>
    <x v="2"/>
    <n v="4362"/>
    <n v="3446"/>
  </r>
  <r>
    <x v="147"/>
    <x v="189"/>
    <x v="0"/>
    <x v="0"/>
    <x v="0"/>
    <s v="Vienna"/>
    <x v="0"/>
    <n v="2934"/>
    <n v="1819"/>
  </r>
  <r>
    <x v="148"/>
    <x v="190"/>
    <x v="1"/>
    <x v="0"/>
    <x v="0"/>
    <s v="Vienna"/>
    <x v="0"/>
    <n v="4354"/>
    <n v="2787"/>
  </r>
  <r>
    <x v="149"/>
    <x v="191"/>
    <x v="2"/>
    <x v="0"/>
    <x v="0"/>
    <s v="Vienna"/>
    <x v="0"/>
    <n v="2102"/>
    <n v="1534"/>
  </r>
  <r>
    <x v="150"/>
    <x v="192"/>
    <x v="3"/>
    <x v="1"/>
    <x v="1"/>
    <s v="Langen"/>
    <x v="0"/>
    <n v="3261"/>
    <n v="2446"/>
  </r>
  <r>
    <x v="151"/>
    <x v="193"/>
    <x v="4"/>
    <x v="1"/>
    <x v="1"/>
    <s v="Langen"/>
    <x v="0"/>
    <n v="2577"/>
    <n v="1907"/>
  </r>
  <r>
    <x v="152"/>
    <x v="194"/>
    <x v="5"/>
    <x v="1"/>
    <x v="1"/>
    <s v="Langen"/>
    <x v="0"/>
    <n v="3131"/>
    <n v="1973"/>
  </r>
  <r>
    <x v="153"/>
    <x v="195"/>
    <x v="6"/>
    <x v="1"/>
    <x v="1"/>
    <s v="Langen"/>
    <x v="0"/>
    <n v="2683"/>
    <n v="1798"/>
  </r>
  <r>
    <x v="154"/>
    <x v="196"/>
    <x v="7"/>
    <x v="1"/>
    <x v="1"/>
    <s v="Langen"/>
    <x v="0"/>
    <n v="2613"/>
    <n v="1751"/>
  </r>
  <r>
    <x v="155"/>
    <x v="197"/>
    <x v="8"/>
    <x v="2"/>
    <x v="2"/>
    <s v="Copenhagen"/>
    <x v="1"/>
    <n v="4076"/>
    <n v="2609"/>
  </r>
  <r>
    <x v="156"/>
    <x v="198"/>
    <x v="9"/>
    <x v="3"/>
    <x v="3"/>
    <s v="Gandia"/>
    <x v="2"/>
    <n v="4400"/>
    <n v="3432"/>
  </r>
  <r>
    <x v="157"/>
    <x v="199"/>
    <x v="10"/>
    <x v="2"/>
    <x v="4"/>
    <s v="Esbjerg"/>
    <x v="1"/>
    <n v="2466"/>
    <n v="1603"/>
  </r>
  <r>
    <x v="158"/>
    <x v="200"/>
    <x v="11"/>
    <x v="4"/>
    <x v="5"/>
    <s v="Mumbai"/>
    <x v="2"/>
    <n v="2137"/>
    <n v="1325"/>
  </r>
  <r>
    <x v="159"/>
    <x v="201"/>
    <x v="12"/>
    <x v="4"/>
    <x v="6"/>
    <s v="Patna"/>
    <x v="2"/>
    <n v="4216"/>
    <n v="3162"/>
  </r>
  <r>
    <x v="160"/>
    <x v="202"/>
    <x v="13"/>
    <x v="4"/>
    <x v="6"/>
    <s v="Patna"/>
    <x v="2"/>
    <n v="3165"/>
    <n v="2310"/>
  </r>
  <r>
    <x v="161"/>
    <x v="203"/>
    <x v="14"/>
    <x v="5"/>
    <x v="7"/>
    <s v="Villiers-sur-Marne"/>
    <x v="0"/>
    <n v="3263"/>
    <n v="2545"/>
  </r>
  <r>
    <x v="162"/>
    <x v="204"/>
    <x v="15"/>
    <x v="1"/>
    <x v="8"/>
    <s v="Bielefeld"/>
    <x v="0"/>
    <n v="2946"/>
    <n v="2210"/>
  </r>
  <r>
    <x v="163"/>
    <x v="205"/>
    <x v="16"/>
    <x v="6"/>
    <x v="9"/>
    <s v="Leuven"/>
    <x v="0"/>
    <n v="2989"/>
    <n v="2212"/>
  </r>
  <r>
    <x v="164"/>
    <x v="206"/>
    <x v="17"/>
    <x v="6"/>
    <x v="9"/>
    <s v="Leuven"/>
    <x v="0"/>
    <n v="3463"/>
    <n v="2770"/>
  </r>
  <r>
    <x v="165"/>
    <x v="207"/>
    <x v="18"/>
    <x v="4"/>
    <x v="5"/>
    <s v="Pune"/>
    <x v="2"/>
    <n v="2677"/>
    <n v="2088"/>
  </r>
  <r>
    <x v="166"/>
    <x v="208"/>
    <x v="19"/>
    <x v="4"/>
    <x v="5"/>
    <s v="Pune"/>
    <x v="2"/>
    <n v="2966"/>
    <n v="1928"/>
  </r>
  <r>
    <x v="167"/>
    <x v="209"/>
    <x v="20"/>
    <x v="4"/>
    <x v="5"/>
    <s v="Pune"/>
    <x v="2"/>
    <n v="2106"/>
    <n v="1516"/>
  </r>
  <r>
    <x v="168"/>
    <x v="210"/>
    <x v="0"/>
    <x v="0"/>
    <x v="0"/>
    <s v="Vienna"/>
    <x v="0"/>
    <n v="3664"/>
    <n v="2272"/>
  </r>
  <r>
    <x v="169"/>
    <x v="211"/>
    <x v="1"/>
    <x v="0"/>
    <x v="0"/>
    <s v="Vienna"/>
    <x v="0"/>
    <n v="3069"/>
    <n v="2240"/>
  </r>
  <r>
    <x v="170"/>
    <x v="212"/>
    <x v="2"/>
    <x v="0"/>
    <x v="0"/>
    <s v="Vienna"/>
    <x v="0"/>
    <n v="3755"/>
    <n v="2516"/>
  </r>
  <r>
    <x v="171"/>
    <x v="213"/>
    <x v="3"/>
    <x v="1"/>
    <x v="1"/>
    <s v="Langen"/>
    <x v="0"/>
    <n v="3215"/>
    <n v="2058"/>
  </r>
  <r>
    <x v="172"/>
    <x v="214"/>
    <x v="4"/>
    <x v="1"/>
    <x v="1"/>
    <s v="Langen"/>
    <x v="0"/>
    <n v="3685"/>
    <n v="2543"/>
  </r>
  <r>
    <x v="173"/>
    <x v="215"/>
    <x v="5"/>
    <x v="1"/>
    <x v="1"/>
    <s v="Langen"/>
    <x v="0"/>
    <n v="4015"/>
    <n v="2730"/>
  </r>
  <r>
    <x v="174"/>
    <x v="216"/>
    <x v="6"/>
    <x v="1"/>
    <x v="1"/>
    <s v="Langen"/>
    <x v="0"/>
    <n v="2517"/>
    <n v="1661"/>
  </r>
  <r>
    <x v="175"/>
    <x v="217"/>
    <x v="7"/>
    <x v="1"/>
    <x v="1"/>
    <s v="Langen"/>
    <x v="0"/>
    <n v="2598"/>
    <n v="1793"/>
  </r>
  <r>
    <x v="176"/>
    <x v="218"/>
    <x v="8"/>
    <x v="2"/>
    <x v="2"/>
    <s v="Copenhagen"/>
    <x v="1"/>
    <n v="3513"/>
    <n v="2740"/>
  </r>
  <r>
    <x v="177"/>
    <x v="219"/>
    <x v="9"/>
    <x v="3"/>
    <x v="3"/>
    <s v="Gandia"/>
    <x v="2"/>
    <n v="2247"/>
    <n v="1775"/>
  </r>
  <r>
    <x v="178"/>
    <x v="220"/>
    <x v="10"/>
    <x v="2"/>
    <x v="4"/>
    <s v="Esbjerg"/>
    <x v="1"/>
    <n v="2878"/>
    <n v="1784"/>
  </r>
  <r>
    <x v="179"/>
    <x v="221"/>
    <x v="11"/>
    <x v="4"/>
    <x v="5"/>
    <s v="Mumbai"/>
    <x v="2"/>
    <n v="3425"/>
    <n v="2706"/>
  </r>
  <r>
    <x v="180"/>
    <x v="222"/>
    <x v="12"/>
    <x v="4"/>
    <x v="6"/>
    <s v="Patna"/>
    <x v="2"/>
    <n v="2865"/>
    <n v="2091"/>
  </r>
  <r>
    <x v="181"/>
    <x v="223"/>
    <x v="13"/>
    <x v="4"/>
    <x v="6"/>
    <s v="Patna"/>
    <x v="2"/>
    <n v="2393"/>
    <n v="1723"/>
  </r>
  <r>
    <x v="182"/>
    <x v="224"/>
    <x v="14"/>
    <x v="5"/>
    <x v="7"/>
    <s v="Villiers-sur-Marne"/>
    <x v="0"/>
    <n v="3149"/>
    <n v="2299"/>
  </r>
  <r>
    <x v="183"/>
    <x v="225"/>
    <x v="15"/>
    <x v="1"/>
    <x v="8"/>
    <s v="Bielefeld"/>
    <x v="0"/>
    <n v="3277"/>
    <n v="2130"/>
  </r>
  <r>
    <x v="184"/>
    <x v="226"/>
    <x v="16"/>
    <x v="6"/>
    <x v="9"/>
    <s v="Leuven"/>
    <x v="0"/>
    <n v="2713"/>
    <n v="1682"/>
  </r>
  <r>
    <x v="185"/>
    <x v="227"/>
    <x v="17"/>
    <x v="6"/>
    <x v="9"/>
    <s v="Leuven"/>
    <x v="0"/>
    <n v="3381"/>
    <n v="2231"/>
  </r>
  <r>
    <x v="186"/>
    <x v="228"/>
    <x v="18"/>
    <x v="4"/>
    <x v="5"/>
    <s v="Pune"/>
    <x v="2"/>
    <n v="2545"/>
    <n v="2011"/>
  </r>
  <r>
    <x v="187"/>
    <x v="229"/>
    <x v="19"/>
    <x v="4"/>
    <x v="5"/>
    <s v="Pune"/>
    <x v="2"/>
    <n v="4473"/>
    <n v="2729"/>
  </r>
  <r>
    <x v="188"/>
    <x v="230"/>
    <x v="20"/>
    <x v="4"/>
    <x v="5"/>
    <s v="Pune"/>
    <x v="2"/>
    <n v="3332"/>
    <n v="2132"/>
  </r>
  <r>
    <x v="189"/>
    <x v="231"/>
    <x v="0"/>
    <x v="0"/>
    <x v="0"/>
    <s v="Vienna"/>
    <x v="0"/>
    <n v="2283"/>
    <n v="1438"/>
  </r>
  <r>
    <x v="190"/>
    <x v="232"/>
    <x v="1"/>
    <x v="0"/>
    <x v="0"/>
    <s v="Vienna"/>
    <x v="0"/>
    <n v="2696"/>
    <n v="1833"/>
  </r>
  <r>
    <x v="191"/>
    <x v="233"/>
    <x v="2"/>
    <x v="0"/>
    <x v="0"/>
    <s v="Vienna"/>
    <x v="0"/>
    <n v="4061"/>
    <n v="3127"/>
  </r>
  <r>
    <x v="192"/>
    <x v="234"/>
    <x v="3"/>
    <x v="1"/>
    <x v="1"/>
    <s v="Langen"/>
    <x v="0"/>
    <n v="2382"/>
    <n v="1548"/>
  </r>
  <r>
    <x v="193"/>
    <x v="235"/>
    <x v="4"/>
    <x v="1"/>
    <x v="1"/>
    <s v="Langen"/>
    <x v="0"/>
    <n v="4336"/>
    <n v="2602"/>
  </r>
  <r>
    <x v="194"/>
    <x v="236"/>
    <x v="5"/>
    <x v="1"/>
    <x v="1"/>
    <s v="Langen"/>
    <x v="0"/>
    <n v="2602"/>
    <n v="2004"/>
  </r>
  <r>
    <x v="195"/>
    <x v="237"/>
    <x v="6"/>
    <x v="1"/>
    <x v="1"/>
    <s v="Langen"/>
    <x v="0"/>
    <n v="3094"/>
    <n v="2073"/>
  </r>
  <r>
    <x v="196"/>
    <x v="238"/>
    <x v="7"/>
    <x v="1"/>
    <x v="1"/>
    <s v="Langen"/>
    <x v="0"/>
    <n v="3510"/>
    <n v="2141"/>
  </r>
  <r>
    <x v="197"/>
    <x v="239"/>
    <x v="8"/>
    <x v="2"/>
    <x v="2"/>
    <s v="Copenhagen"/>
    <x v="1"/>
    <n v="2134"/>
    <n v="1536"/>
  </r>
  <r>
    <x v="198"/>
    <x v="240"/>
    <x v="9"/>
    <x v="3"/>
    <x v="3"/>
    <s v="Gandia"/>
    <x v="2"/>
    <n v="2661"/>
    <n v="2022"/>
  </r>
  <r>
    <x v="199"/>
    <x v="241"/>
    <x v="10"/>
    <x v="2"/>
    <x v="4"/>
    <s v="Esbjerg"/>
    <x v="1"/>
    <n v="2901"/>
    <n v="1741"/>
  </r>
  <r>
    <x v="200"/>
    <x v="242"/>
    <x v="11"/>
    <x v="4"/>
    <x v="5"/>
    <s v="Mumbai"/>
    <x v="2"/>
    <n v="3784"/>
    <n v="2384"/>
  </r>
  <r>
    <x v="201"/>
    <x v="243"/>
    <x v="12"/>
    <x v="4"/>
    <x v="6"/>
    <s v="Patna"/>
    <x v="2"/>
    <n v="3135"/>
    <n v="2445"/>
  </r>
  <r>
    <x v="202"/>
    <x v="244"/>
    <x v="13"/>
    <x v="4"/>
    <x v="6"/>
    <s v="Patna"/>
    <x v="2"/>
    <n v="2802"/>
    <n v="1877"/>
  </r>
  <r>
    <x v="203"/>
    <x v="245"/>
    <x v="14"/>
    <x v="5"/>
    <x v="7"/>
    <s v="Villiers-sur-Marne"/>
    <x v="0"/>
    <n v="3486"/>
    <n v="2789"/>
  </r>
  <r>
    <x v="204"/>
    <x v="246"/>
    <x v="15"/>
    <x v="1"/>
    <x v="8"/>
    <s v="Bielefeld"/>
    <x v="0"/>
    <n v="3422"/>
    <n v="2122"/>
  </r>
  <r>
    <x v="205"/>
    <x v="247"/>
    <x v="16"/>
    <x v="6"/>
    <x v="9"/>
    <s v="Leuven"/>
    <x v="0"/>
    <n v="2842"/>
    <n v="2188"/>
  </r>
  <r>
    <x v="206"/>
    <x v="248"/>
    <x v="17"/>
    <x v="6"/>
    <x v="9"/>
    <s v="Leuven"/>
    <x v="0"/>
    <n v="3846"/>
    <n v="2500"/>
  </r>
  <r>
    <x v="207"/>
    <x v="249"/>
    <x v="18"/>
    <x v="4"/>
    <x v="5"/>
    <s v="Pune"/>
    <x v="2"/>
    <n v="3131"/>
    <n v="2380"/>
  </r>
  <r>
    <x v="208"/>
    <x v="250"/>
    <x v="19"/>
    <x v="4"/>
    <x v="5"/>
    <s v="Pune"/>
    <x v="2"/>
    <n v="3825"/>
    <n v="2333"/>
  </r>
  <r>
    <x v="209"/>
    <x v="251"/>
    <x v="20"/>
    <x v="4"/>
    <x v="5"/>
    <s v="Pune"/>
    <x v="2"/>
    <n v="4362"/>
    <n v="3446"/>
  </r>
  <r>
    <x v="210"/>
    <x v="252"/>
    <x v="0"/>
    <x v="0"/>
    <x v="0"/>
    <s v="Vienna"/>
    <x v="0"/>
    <n v="2934"/>
    <n v="1819"/>
  </r>
  <r>
    <x v="211"/>
    <x v="253"/>
    <x v="1"/>
    <x v="0"/>
    <x v="0"/>
    <s v="Vienna"/>
    <x v="0"/>
    <n v="4354"/>
    <n v="2787"/>
  </r>
  <r>
    <x v="212"/>
    <x v="254"/>
    <x v="2"/>
    <x v="0"/>
    <x v="0"/>
    <s v="Vienna"/>
    <x v="0"/>
    <n v="2102"/>
    <n v="1534"/>
  </r>
  <r>
    <x v="213"/>
    <x v="255"/>
    <x v="3"/>
    <x v="1"/>
    <x v="1"/>
    <s v="Langen"/>
    <x v="0"/>
    <n v="3261"/>
    <n v="2446"/>
  </r>
  <r>
    <x v="214"/>
    <x v="256"/>
    <x v="4"/>
    <x v="1"/>
    <x v="1"/>
    <s v="Langen"/>
    <x v="0"/>
    <n v="2577"/>
    <n v="1907"/>
  </r>
  <r>
    <x v="215"/>
    <x v="257"/>
    <x v="5"/>
    <x v="1"/>
    <x v="1"/>
    <s v="Langen"/>
    <x v="0"/>
    <n v="3131"/>
    <n v="1973"/>
  </r>
  <r>
    <x v="216"/>
    <x v="258"/>
    <x v="6"/>
    <x v="1"/>
    <x v="1"/>
    <s v="Langen"/>
    <x v="0"/>
    <n v="2683"/>
    <n v="1798"/>
  </r>
  <r>
    <x v="217"/>
    <x v="259"/>
    <x v="7"/>
    <x v="1"/>
    <x v="1"/>
    <s v="Langen"/>
    <x v="0"/>
    <n v="2613"/>
    <n v="1751"/>
  </r>
  <r>
    <x v="218"/>
    <x v="260"/>
    <x v="8"/>
    <x v="2"/>
    <x v="2"/>
    <s v="Copenhagen"/>
    <x v="1"/>
    <n v="4076"/>
    <n v="2609"/>
  </r>
  <r>
    <x v="219"/>
    <x v="261"/>
    <x v="9"/>
    <x v="3"/>
    <x v="3"/>
    <s v="Gandia"/>
    <x v="2"/>
    <n v="4400"/>
    <n v="3432"/>
  </r>
  <r>
    <x v="220"/>
    <x v="262"/>
    <x v="10"/>
    <x v="2"/>
    <x v="4"/>
    <s v="Esbjerg"/>
    <x v="1"/>
    <n v="2466"/>
    <n v="1603"/>
  </r>
  <r>
    <x v="221"/>
    <x v="263"/>
    <x v="11"/>
    <x v="4"/>
    <x v="5"/>
    <s v="Mumbai"/>
    <x v="2"/>
    <n v="2137"/>
    <n v="1325"/>
  </r>
  <r>
    <x v="222"/>
    <x v="264"/>
    <x v="12"/>
    <x v="4"/>
    <x v="6"/>
    <s v="Patna"/>
    <x v="2"/>
    <n v="4216"/>
    <n v="3162"/>
  </r>
  <r>
    <x v="223"/>
    <x v="265"/>
    <x v="13"/>
    <x v="4"/>
    <x v="6"/>
    <s v="Patna"/>
    <x v="2"/>
    <n v="3165"/>
    <n v="2310"/>
  </r>
  <r>
    <x v="224"/>
    <x v="266"/>
    <x v="14"/>
    <x v="5"/>
    <x v="7"/>
    <s v="Villiers-sur-Marne"/>
    <x v="0"/>
    <n v="3263"/>
    <n v="2545"/>
  </r>
  <r>
    <x v="225"/>
    <x v="267"/>
    <x v="15"/>
    <x v="1"/>
    <x v="8"/>
    <s v="Bielefeld"/>
    <x v="0"/>
    <n v="2946"/>
    <n v="2210"/>
  </r>
  <r>
    <x v="226"/>
    <x v="268"/>
    <x v="16"/>
    <x v="6"/>
    <x v="9"/>
    <s v="Leuven"/>
    <x v="0"/>
    <n v="2989"/>
    <n v="2212"/>
  </r>
  <r>
    <x v="227"/>
    <x v="269"/>
    <x v="17"/>
    <x v="6"/>
    <x v="9"/>
    <s v="Leuven"/>
    <x v="0"/>
    <n v="3463"/>
    <n v="2770"/>
  </r>
  <r>
    <x v="228"/>
    <x v="270"/>
    <x v="18"/>
    <x v="4"/>
    <x v="5"/>
    <s v="Pune"/>
    <x v="2"/>
    <n v="2677"/>
    <n v="2088"/>
  </r>
  <r>
    <x v="229"/>
    <x v="271"/>
    <x v="19"/>
    <x v="4"/>
    <x v="5"/>
    <s v="Pune"/>
    <x v="2"/>
    <n v="2966"/>
    <n v="1928"/>
  </r>
  <r>
    <x v="230"/>
    <x v="272"/>
    <x v="20"/>
    <x v="4"/>
    <x v="5"/>
    <s v="Pune"/>
    <x v="2"/>
    <n v="2106"/>
    <n v="1516"/>
  </r>
  <r>
    <x v="231"/>
    <x v="273"/>
    <x v="0"/>
    <x v="0"/>
    <x v="0"/>
    <s v="Vienna"/>
    <x v="0"/>
    <n v="3664"/>
    <n v="2272"/>
  </r>
  <r>
    <x v="232"/>
    <x v="274"/>
    <x v="1"/>
    <x v="0"/>
    <x v="0"/>
    <s v="Vienna"/>
    <x v="0"/>
    <n v="3069"/>
    <n v="2240"/>
  </r>
  <r>
    <x v="233"/>
    <x v="275"/>
    <x v="2"/>
    <x v="0"/>
    <x v="0"/>
    <s v="Vienna"/>
    <x v="0"/>
    <n v="3755"/>
    <n v="2516"/>
  </r>
  <r>
    <x v="234"/>
    <x v="276"/>
    <x v="3"/>
    <x v="1"/>
    <x v="1"/>
    <s v="Langen"/>
    <x v="0"/>
    <n v="3215"/>
    <n v="2058"/>
  </r>
  <r>
    <x v="235"/>
    <x v="277"/>
    <x v="4"/>
    <x v="1"/>
    <x v="1"/>
    <s v="Langen"/>
    <x v="0"/>
    <n v="3685"/>
    <n v="2543"/>
  </r>
  <r>
    <x v="236"/>
    <x v="278"/>
    <x v="5"/>
    <x v="1"/>
    <x v="1"/>
    <s v="Langen"/>
    <x v="0"/>
    <n v="4015"/>
    <n v="2730"/>
  </r>
  <r>
    <x v="237"/>
    <x v="279"/>
    <x v="6"/>
    <x v="1"/>
    <x v="1"/>
    <s v="Langen"/>
    <x v="0"/>
    <n v="2517"/>
    <n v="1661"/>
  </r>
  <r>
    <x v="238"/>
    <x v="280"/>
    <x v="7"/>
    <x v="1"/>
    <x v="1"/>
    <s v="Langen"/>
    <x v="0"/>
    <n v="2598"/>
    <n v="1793"/>
  </r>
  <r>
    <x v="239"/>
    <x v="281"/>
    <x v="8"/>
    <x v="2"/>
    <x v="2"/>
    <s v="Copenhagen"/>
    <x v="1"/>
    <n v="3513"/>
    <n v="2740"/>
  </r>
  <r>
    <x v="240"/>
    <x v="282"/>
    <x v="9"/>
    <x v="3"/>
    <x v="3"/>
    <s v="Gandia"/>
    <x v="2"/>
    <n v="2247"/>
    <n v="1775"/>
  </r>
  <r>
    <x v="241"/>
    <x v="283"/>
    <x v="10"/>
    <x v="2"/>
    <x v="4"/>
    <s v="Esbjerg"/>
    <x v="1"/>
    <n v="2878"/>
    <n v="1784"/>
  </r>
  <r>
    <x v="242"/>
    <x v="284"/>
    <x v="11"/>
    <x v="4"/>
    <x v="5"/>
    <s v="Mumbai"/>
    <x v="2"/>
    <n v="3425"/>
    <n v="2706"/>
  </r>
  <r>
    <x v="243"/>
    <x v="285"/>
    <x v="12"/>
    <x v="4"/>
    <x v="6"/>
    <s v="Patna"/>
    <x v="2"/>
    <n v="2865"/>
    <n v="2091"/>
  </r>
  <r>
    <x v="244"/>
    <x v="286"/>
    <x v="13"/>
    <x v="4"/>
    <x v="6"/>
    <s v="Patna"/>
    <x v="2"/>
    <n v="2393"/>
    <n v="1723"/>
  </r>
  <r>
    <x v="245"/>
    <x v="287"/>
    <x v="14"/>
    <x v="5"/>
    <x v="7"/>
    <s v="Villiers-sur-Marne"/>
    <x v="0"/>
    <n v="3149"/>
    <n v="2299"/>
  </r>
  <r>
    <x v="246"/>
    <x v="288"/>
    <x v="15"/>
    <x v="1"/>
    <x v="8"/>
    <s v="Bielefeld"/>
    <x v="0"/>
    <n v="3277"/>
    <n v="2130"/>
  </r>
  <r>
    <x v="247"/>
    <x v="289"/>
    <x v="16"/>
    <x v="6"/>
    <x v="9"/>
    <s v="Leuven"/>
    <x v="0"/>
    <n v="2713"/>
    <n v="1682"/>
  </r>
  <r>
    <x v="248"/>
    <x v="290"/>
    <x v="17"/>
    <x v="6"/>
    <x v="9"/>
    <s v="Leuven"/>
    <x v="0"/>
    <n v="3381"/>
    <n v="2231"/>
  </r>
  <r>
    <x v="249"/>
    <x v="291"/>
    <x v="18"/>
    <x v="4"/>
    <x v="5"/>
    <s v="Pune"/>
    <x v="2"/>
    <n v="2545"/>
    <n v="2011"/>
  </r>
  <r>
    <x v="250"/>
    <x v="292"/>
    <x v="19"/>
    <x v="4"/>
    <x v="5"/>
    <s v="Pune"/>
    <x v="2"/>
    <n v="4473"/>
    <n v="2729"/>
  </r>
  <r>
    <x v="251"/>
    <x v="293"/>
    <x v="20"/>
    <x v="4"/>
    <x v="5"/>
    <s v="Pune"/>
    <x v="2"/>
    <n v="3332"/>
    <n v="2132"/>
  </r>
  <r>
    <x v="252"/>
    <x v="294"/>
    <x v="0"/>
    <x v="0"/>
    <x v="0"/>
    <s v="Vienna"/>
    <x v="0"/>
    <n v="2283"/>
    <n v="1438"/>
  </r>
  <r>
    <x v="253"/>
    <x v="295"/>
    <x v="1"/>
    <x v="0"/>
    <x v="0"/>
    <s v="Vienna"/>
    <x v="0"/>
    <n v="2696"/>
    <n v="1833"/>
  </r>
  <r>
    <x v="254"/>
    <x v="296"/>
    <x v="2"/>
    <x v="0"/>
    <x v="0"/>
    <s v="Vienna"/>
    <x v="0"/>
    <n v="4061"/>
    <n v="3127"/>
  </r>
  <r>
    <x v="255"/>
    <x v="297"/>
    <x v="3"/>
    <x v="1"/>
    <x v="1"/>
    <s v="Langen"/>
    <x v="0"/>
    <n v="2382"/>
    <n v="1548"/>
  </r>
  <r>
    <x v="256"/>
    <x v="298"/>
    <x v="4"/>
    <x v="1"/>
    <x v="1"/>
    <s v="Langen"/>
    <x v="0"/>
    <n v="4336"/>
    <n v="2602"/>
  </r>
  <r>
    <x v="257"/>
    <x v="299"/>
    <x v="5"/>
    <x v="1"/>
    <x v="1"/>
    <s v="Langen"/>
    <x v="0"/>
    <n v="2602"/>
    <n v="2004"/>
  </r>
  <r>
    <x v="258"/>
    <x v="300"/>
    <x v="6"/>
    <x v="1"/>
    <x v="1"/>
    <s v="Langen"/>
    <x v="0"/>
    <n v="3094"/>
    <n v="2073"/>
  </r>
  <r>
    <x v="259"/>
    <x v="301"/>
    <x v="7"/>
    <x v="1"/>
    <x v="1"/>
    <s v="Langen"/>
    <x v="0"/>
    <n v="3510"/>
    <n v="2141"/>
  </r>
  <r>
    <x v="260"/>
    <x v="302"/>
    <x v="8"/>
    <x v="2"/>
    <x v="2"/>
    <s v="Copenhagen"/>
    <x v="1"/>
    <n v="2134"/>
    <n v="1536"/>
  </r>
  <r>
    <x v="261"/>
    <x v="303"/>
    <x v="9"/>
    <x v="3"/>
    <x v="3"/>
    <s v="Gandia"/>
    <x v="2"/>
    <n v="2661"/>
    <n v="2022"/>
  </r>
  <r>
    <x v="262"/>
    <x v="304"/>
    <x v="10"/>
    <x v="2"/>
    <x v="4"/>
    <s v="Esbjerg"/>
    <x v="1"/>
    <n v="2901"/>
    <n v="1741"/>
  </r>
  <r>
    <x v="263"/>
    <x v="305"/>
    <x v="11"/>
    <x v="4"/>
    <x v="5"/>
    <s v="Mumbai"/>
    <x v="2"/>
    <n v="3784"/>
    <n v="2384"/>
  </r>
  <r>
    <x v="264"/>
    <x v="306"/>
    <x v="12"/>
    <x v="4"/>
    <x v="6"/>
    <s v="Patna"/>
    <x v="2"/>
    <n v="3135"/>
    <n v="2445"/>
  </r>
  <r>
    <x v="265"/>
    <x v="307"/>
    <x v="13"/>
    <x v="4"/>
    <x v="6"/>
    <s v="Patna"/>
    <x v="2"/>
    <n v="2802"/>
    <n v="1877"/>
  </r>
  <r>
    <x v="266"/>
    <x v="308"/>
    <x v="14"/>
    <x v="5"/>
    <x v="7"/>
    <s v="Villiers-sur-Marne"/>
    <x v="0"/>
    <n v="3486"/>
    <n v="2789"/>
  </r>
  <r>
    <x v="267"/>
    <x v="309"/>
    <x v="15"/>
    <x v="1"/>
    <x v="8"/>
    <s v="Bielefeld"/>
    <x v="0"/>
    <n v="3422"/>
    <n v="2122"/>
  </r>
  <r>
    <x v="268"/>
    <x v="310"/>
    <x v="16"/>
    <x v="6"/>
    <x v="9"/>
    <s v="Leuven"/>
    <x v="0"/>
    <n v="2842"/>
    <n v="2188"/>
  </r>
  <r>
    <x v="269"/>
    <x v="311"/>
    <x v="17"/>
    <x v="6"/>
    <x v="9"/>
    <s v="Leuven"/>
    <x v="0"/>
    <n v="3846"/>
    <n v="2500"/>
  </r>
  <r>
    <x v="270"/>
    <x v="312"/>
    <x v="18"/>
    <x v="4"/>
    <x v="5"/>
    <s v="Pune"/>
    <x v="2"/>
    <n v="3131"/>
    <n v="2380"/>
  </r>
  <r>
    <x v="271"/>
    <x v="313"/>
    <x v="19"/>
    <x v="4"/>
    <x v="5"/>
    <s v="Pune"/>
    <x v="2"/>
    <n v="3825"/>
    <n v="2333"/>
  </r>
  <r>
    <x v="272"/>
    <x v="314"/>
    <x v="20"/>
    <x v="4"/>
    <x v="5"/>
    <s v="Pune"/>
    <x v="2"/>
    <n v="4362"/>
    <n v="3446"/>
  </r>
  <r>
    <x v="273"/>
    <x v="315"/>
    <x v="0"/>
    <x v="0"/>
    <x v="0"/>
    <s v="Vienna"/>
    <x v="0"/>
    <n v="2934"/>
    <n v="1819"/>
  </r>
  <r>
    <x v="274"/>
    <x v="316"/>
    <x v="1"/>
    <x v="0"/>
    <x v="0"/>
    <s v="Vienna"/>
    <x v="0"/>
    <n v="4354"/>
    <n v="2787"/>
  </r>
  <r>
    <x v="275"/>
    <x v="317"/>
    <x v="2"/>
    <x v="0"/>
    <x v="0"/>
    <s v="Vienna"/>
    <x v="0"/>
    <n v="2102"/>
    <n v="1534"/>
  </r>
  <r>
    <x v="276"/>
    <x v="318"/>
    <x v="3"/>
    <x v="1"/>
    <x v="1"/>
    <s v="Langen"/>
    <x v="0"/>
    <n v="3261"/>
    <n v="2446"/>
  </r>
  <r>
    <x v="277"/>
    <x v="319"/>
    <x v="4"/>
    <x v="1"/>
    <x v="1"/>
    <s v="Langen"/>
    <x v="0"/>
    <n v="2577"/>
    <n v="1907"/>
  </r>
  <r>
    <x v="278"/>
    <x v="320"/>
    <x v="5"/>
    <x v="1"/>
    <x v="1"/>
    <s v="Langen"/>
    <x v="0"/>
    <n v="3131"/>
    <n v="1973"/>
  </r>
  <r>
    <x v="279"/>
    <x v="321"/>
    <x v="6"/>
    <x v="1"/>
    <x v="1"/>
    <s v="Langen"/>
    <x v="0"/>
    <n v="2683"/>
    <n v="1798"/>
  </r>
  <r>
    <x v="280"/>
    <x v="322"/>
    <x v="7"/>
    <x v="1"/>
    <x v="1"/>
    <s v="Langen"/>
    <x v="0"/>
    <n v="2613"/>
    <n v="1751"/>
  </r>
  <r>
    <x v="281"/>
    <x v="323"/>
    <x v="8"/>
    <x v="2"/>
    <x v="2"/>
    <s v="Copenhagen"/>
    <x v="1"/>
    <n v="4076"/>
    <n v="2609"/>
  </r>
  <r>
    <x v="282"/>
    <x v="324"/>
    <x v="9"/>
    <x v="3"/>
    <x v="3"/>
    <s v="Gandia"/>
    <x v="2"/>
    <n v="4400"/>
    <n v="3432"/>
  </r>
  <r>
    <x v="283"/>
    <x v="325"/>
    <x v="10"/>
    <x v="2"/>
    <x v="4"/>
    <s v="Esbjerg"/>
    <x v="1"/>
    <n v="2466"/>
    <n v="1603"/>
  </r>
  <r>
    <x v="284"/>
    <x v="326"/>
    <x v="11"/>
    <x v="4"/>
    <x v="5"/>
    <s v="Mumbai"/>
    <x v="2"/>
    <n v="2137"/>
    <n v="1325"/>
  </r>
  <r>
    <x v="285"/>
    <x v="327"/>
    <x v="12"/>
    <x v="4"/>
    <x v="6"/>
    <s v="Patna"/>
    <x v="2"/>
    <n v="4216"/>
    <n v="3162"/>
  </r>
  <r>
    <x v="286"/>
    <x v="328"/>
    <x v="13"/>
    <x v="4"/>
    <x v="6"/>
    <s v="Patna"/>
    <x v="2"/>
    <n v="3165"/>
    <n v="2310"/>
  </r>
  <r>
    <x v="287"/>
    <x v="329"/>
    <x v="14"/>
    <x v="5"/>
    <x v="7"/>
    <s v="Villiers-sur-Marne"/>
    <x v="0"/>
    <n v="3263"/>
    <n v="2545"/>
  </r>
  <r>
    <x v="288"/>
    <x v="330"/>
    <x v="15"/>
    <x v="1"/>
    <x v="8"/>
    <s v="Bielefeld"/>
    <x v="0"/>
    <n v="2946"/>
    <n v="2210"/>
  </r>
  <r>
    <x v="289"/>
    <x v="331"/>
    <x v="16"/>
    <x v="6"/>
    <x v="9"/>
    <s v="Leuven"/>
    <x v="0"/>
    <n v="2989"/>
    <n v="2212"/>
  </r>
  <r>
    <x v="290"/>
    <x v="332"/>
    <x v="17"/>
    <x v="6"/>
    <x v="9"/>
    <s v="Leuven"/>
    <x v="0"/>
    <n v="3463"/>
    <n v="2770"/>
  </r>
  <r>
    <x v="291"/>
    <x v="333"/>
    <x v="18"/>
    <x v="4"/>
    <x v="5"/>
    <s v="Pune"/>
    <x v="2"/>
    <n v="2677"/>
    <n v="2088"/>
  </r>
  <r>
    <x v="292"/>
    <x v="334"/>
    <x v="19"/>
    <x v="4"/>
    <x v="5"/>
    <s v="Pune"/>
    <x v="2"/>
    <n v="2966"/>
    <n v="1928"/>
  </r>
  <r>
    <x v="293"/>
    <x v="335"/>
    <x v="20"/>
    <x v="4"/>
    <x v="5"/>
    <s v="Pune"/>
    <x v="2"/>
    <n v="2106"/>
    <n v="1516"/>
  </r>
  <r>
    <x v="294"/>
    <x v="336"/>
    <x v="0"/>
    <x v="0"/>
    <x v="0"/>
    <s v="Vienna"/>
    <x v="0"/>
    <n v="3664"/>
    <n v="2272"/>
  </r>
  <r>
    <x v="295"/>
    <x v="337"/>
    <x v="1"/>
    <x v="0"/>
    <x v="0"/>
    <s v="Vienna"/>
    <x v="0"/>
    <n v="3069"/>
    <n v="2240"/>
  </r>
  <r>
    <x v="296"/>
    <x v="338"/>
    <x v="2"/>
    <x v="0"/>
    <x v="0"/>
    <s v="Vienna"/>
    <x v="0"/>
    <n v="3755"/>
    <n v="2516"/>
  </r>
  <r>
    <x v="297"/>
    <x v="339"/>
    <x v="3"/>
    <x v="1"/>
    <x v="1"/>
    <s v="Langen"/>
    <x v="0"/>
    <n v="3215"/>
    <n v="2058"/>
  </r>
  <r>
    <x v="298"/>
    <x v="340"/>
    <x v="4"/>
    <x v="1"/>
    <x v="1"/>
    <s v="Langen"/>
    <x v="0"/>
    <n v="3685"/>
    <n v="2543"/>
  </r>
  <r>
    <x v="299"/>
    <x v="341"/>
    <x v="5"/>
    <x v="1"/>
    <x v="1"/>
    <s v="Langen"/>
    <x v="0"/>
    <n v="4015"/>
    <n v="2730"/>
  </r>
  <r>
    <x v="300"/>
    <x v="342"/>
    <x v="6"/>
    <x v="1"/>
    <x v="1"/>
    <s v="Langen"/>
    <x v="0"/>
    <n v="2517"/>
    <n v="1661"/>
  </r>
  <r>
    <x v="301"/>
    <x v="343"/>
    <x v="7"/>
    <x v="1"/>
    <x v="1"/>
    <s v="Langen"/>
    <x v="0"/>
    <n v="2598"/>
    <n v="1793"/>
  </r>
  <r>
    <x v="302"/>
    <x v="344"/>
    <x v="8"/>
    <x v="2"/>
    <x v="2"/>
    <s v="Copenhagen"/>
    <x v="1"/>
    <n v="3513"/>
    <n v="2740"/>
  </r>
  <r>
    <x v="303"/>
    <x v="345"/>
    <x v="9"/>
    <x v="3"/>
    <x v="3"/>
    <s v="Gandia"/>
    <x v="2"/>
    <n v="2247"/>
    <n v="1775"/>
  </r>
  <r>
    <x v="304"/>
    <x v="346"/>
    <x v="10"/>
    <x v="2"/>
    <x v="4"/>
    <s v="Esbjerg"/>
    <x v="1"/>
    <n v="2878"/>
    <n v="1784"/>
  </r>
  <r>
    <x v="305"/>
    <x v="347"/>
    <x v="11"/>
    <x v="4"/>
    <x v="5"/>
    <s v="Mumbai"/>
    <x v="2"/>
    <n v="3425"/>
    <n v="2706"/>
  </r>
  <r>
    <x v="306"/>
    <x v="348"/>
    <x v="12"/>
    <x v="4"/>
    <x v="6"/>
    <s v="Patna"/>
    <x v="2"/>
    <n v="2865"/>
    <n v="2091"/>
  </r>
  <r>
    <x v="307"/>
    <x v="349"/>
    <x v="13"/>
    <x v="4"/>
    <x v="6"/>
    <s v="Patna"/>
    <x v="2"/>
    <n v="2393"/>
    <n v="1723"/>
  </r>
  <r>
    <x v="308"/>
    <x v="350"/>
    <x v="14"/>
    <x v="5"/>
    <x v="7"/>
    <s v="Villiers-sur-Marne"/>
    <x v="0"/>
    <n v="3149"/>
    <n v="2299"/>
  </r>
  <r>
    <x v="309"/>
    <x v="351"/>
    <x v="15"/>
    <x v="1"/>
    <x v="8"/>
    <s v="Bielefeld"/>
    <x v="0"/>
    <n v="3277"/>
    <n v="2130"/>
  </r>
  <r>
    <x v="310"/>
    <x v="352"/>
    <x v="16"/>
    <x v="6"/>
    <x v="9"/>
    <s v="Leuven"/>
    <x v="0"/>
    <n v="2713"/>
    <n v="1682"/>
  </r>
  <r>
    <x v="311"/>
    <x v="353"/>
    <x v="17"/>
    <x v="6"/>
    <x v="9"/>
    <s v="Leuven"/>
    <x v="0"/>
    <n v="3381"/>
    <n v="2231"/>
  </r>
  <r>
    <x v="312"/>
    <x v="354"/>
    <x v="18"/>
    <x v="4"/>
    <x v="5"/>
    <s v="Pune"/>
    <x v="2"/>
    <n v="2545"/>
    <n v="2011"/>
  </r>
  <r>
    <x v="313"/>
    <x v="355"/>
    <x v="19"/>
    <x v="4"/>
    <x v="5"/>
    <s v="Pune"/>
    <x v="2"/>
    <n v="4473"/>
    <n v="2729"/>
  </r>
  <r>
    <x v="314"/>
    <x v="356"/>
    <x v="20"/>
    <x v="4"/>
    <x v="5"/>
    <s v="Pune"/>
    <x v="2"/>
    <n v="3332"/>
    <n v="2132"/>
  </r>
  <r>
    <x v="315"/>
    <x v="357"/>
    <x v="0"/>
    <x v="0"/>
    <x v="0"/>
    <s v="Vienna"/>
    <x v="0"/>
    <n v="2283"/>
    <n v="1438"/>
  </r>
  <r>
    <x v="316"/>
    <x v="358"/>
    <x v="1"/>
    <x v="0"/>
    <x v="0"/>
    <s v="Vienna"/>
    <x v="0"/>
    <n v="2696"/>
    <n v="1833"/>
  </r>
  <r>
    <x v="317"/>
    <x v="359"/>
    <x v="2"/>
    <x v="0"/>
    <x v="0"/>
    <s v="Vienna"/>
    <x v="0"/>
    <n v="4061"/>
    <n v="3127"/>
  </r>
  <r>
    <x v="318"/>
    <x v="360"/>
    <x v="3"/>
    <x v="1"/>
    <x v="1"/>
    <s v="Langen"/>
    <x v="0"/>
    <n v="2382"/>
    <n v="1548"/>
  </r>
  <r>
    <x v="319"/>
    <x v="361"/>
    <x v="4"/>
    <x v="1"/>
    <x v="1"/>
    <s v="Langen"/>
    <x v="0"/>
    <n v="4336"/>
    <n v="2602"/>
  </r>
  <r>
    <x v="320"/>
    <x v="362"/>
    <x v="5"/>
    <x v="1"/>
    <x v="1"/>
    <s v="Langen"/>
    <x v="0"/>
    <n v="2602"/>
    <n v="2004"/>
  </r>
  <r>
    <x v="321"/>
    <x v="363"/>
    <x v="6"/>
    <x v="1"/>
    <x v="1"/>
    <s v="Langen"/>
    <x v="0"/>
    <n v="3094"/>
    <n v="2073"/>
  </r>
  <r>
    <x v="322"/>
    <x v="364"/>
    <x v="7"/>
    <x v="1"/>
    <x v="1"/>
    <s v="Langen"/>
    <x v="0"/>
    <n v="3510"/>
    <n v="214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Mum_Abdul Hamid (1008512)"/>
    <x v="0"/>
    <x v="0"/>
    <d v="1899-12-30T04:57:59"/>
    <d v="1899-12-30T01:08:42"/>
    <n v="98"/>
    <n v="0.55697138822580095"/>
  </r>
  <r>
    <s v="Mum_Afzal Husain (1008513)"/>
    <x v="1"/>
    <x v="1"/>
    <d v="1899-12-30T04:58:34"/>
    <d v="1899-12-30T01:09:59"/>
    <n v="23"/>
    <n v="0.58027306967984904"/>
  </r>
  <r>
    <s v="Mum_Anamika Gupta (1008514)"/>
    <x v="2"/>
    <x v="2"/>
    <d v="1899-12-30T04:49:35"/>
    <d v="1899-12-30T01:13:54"/>
    <n v="28"/>
    <n v="0.51708756749505302"/>
  </r>
  <r>
    <s v="Mum_Anikuttan (1008515)"/>
    <x v="3"/>
    <x v="3"/>
    <d v="1899-12-30T04:17:32"/>
    <d v="1899-12-30T02:19:02"/>
    <n v="29"/>
    <n v="0.47720778337188702"/>
  </r>
  <r>
    <s v="Mum_Anil Kumar (1008516)"/>
    <x v="4"/>
    <x v="4"/>
    <d v="1899-12-30T03:19:44"/>
    <d v="1899-12-30T03:04:58"/>
    <n v="93"/>
    <n v="0.43288831738587802"/>
  </r>
  <r>
    <s v="Mum_Anita Dixit (1008517)"/>
    <x v="5"/>
    <x v="5"/>
    <d v="1899-12-30T03:41:19"/>
    <d v="1899-12-30T00:27:07"/>
    <n v="92"/>
    <n v="0.65495030262646503"/>
  </r>
  <r>
    <s v="Mum_Anita Ghore (1008518)"/>
    <x v="6"/>
    <x v="6"/>
    <d v="1899-12-30T04:12:46"/>
    <d v="1899-12-30T02:41:42"/>
    <n v="26"/>
    <n v="0.49476474931203401"/>
  </r>
  <r>
    <s v="Mum_Anjali Deoram (1008519)"/>
    <x v="7"/>
    <x v="7"/>
    <d v="1899-12-30T05:52:08"/>
    <d v="1899-12-30T01:13:10"/>
    <n v="90"/>
    <n v="0.55128627474469205"/>
  </r>
  <r>
    <s v="Mum_Anjali Sahay (1008520)"/>
    <x v="8"/>
    <x v="8"/>
    <d v="1899-12-30T04:52:29"/>
    <d v="1899-12-30T01:06:39"/>
    <n v="89"/>
    <n v="0.55206432867085597"/>
  </r>
  <r>
    <s v="Mum_Annu Latika (1008521)"/>
    <x v="9"/>
    <x v="9"/>
    <d v="1899-12-30T04:58:07"/>
    <d v="1899-12-30T01:09:57"/>
    <n v="54"/>
    <n v="0.56868945774108703"/>
  </r>
  <r>
    <s v="Mum_Anoop Narayan (1008522)"/>
    <x v="10"/>
    <x v="10"/>
    <d v="1899-12-30T04:55:28"/>
    <d v="1899-12-30T01:09:15"/>
    <n v="87"/>
    <n v="0.56035332087650802"/>
  </r>
  <r>
    <s v="Mum_Anoop Raj (1008523)"/>
    <x v="11"/>
    <x v="11"/>
    <d v="1899-12-30T03:47:42"/>
    <d v="1899-12-30T03:01:18"/>
    <n v="65"/>
    <n v="0.41552495697073999"/>
  </r>
  <r>
    <s v="Mum_Anubhuti Gupta (1008524)"/>
    <x v="12"/>
    <x v="12"/>
    <d v="1899-12-30T04:43:40"/>
    <d v="1899-12-30T02:06:41"/>
    <n v="85"/>
    <n v="0.50026955994339195"/>
  </r>
  <r>
    <s v="Mum_Arun Kumar (1008525)"/>
    <x v="13"/>
    <x v="13"/>
    <d v="1899-12-30T04:40:27"/>
    <d v="1899-12-30T01:10:34"/>
    <n v="65"/>
    <n v="0.51396318166029897"/>
  </r>
  <r>
    <s v="Mum_Ashish Kumar (1008526)"/>
    <x v="14"/>
    <x v="14"/>
    <d v="1899-12-30T04:57:35"/>
    <d v="1899-12-30T01:16:59"/>
    <n v="83"/>
    <n v="0.510580502364264"/>
  </r>
  <r>
    <s v="Mum_Ashok Kumar (1008527)"/>
    <x v="15"/>
    <x v="15"/>
    <d v="1899-12-30T04:10:25"/>
    <d v="1899-12-30T02:24:20"/>
    <n v="82"/>
    <n v="0.48292274174627098"/>
  </r>
  <r>
    <s v="Hyd_Ashok Kumar (1008528)"/>
    <x v="15"/>
    <x v="16"/>
    <d v="1899-12-30T04:44:12"/>
    <d v="1899-12-30T00:56:29"/>
    <n v="81"/>
    <n v="0.57362319861879396"/>
  </r>
  <r>
    <s v="Hyd_Ashok Kumar (1008529)"/>
    <x v="15"/>
    <x v="17"/>
    <d v="1899-12-30T04:58:07"/>
    <d v="1899-12-30T01:10:07"/>
    <n v="80"/>
    <n v="0.56430560681810604"/>
  </r>
  <r>
    <s v="Hyd_Ashok Kumar (1008530)"/>
    <x v="15"/>
    <x v="18"/>
    <d v="1899-12-30T04:23:03"/>
    <d v="1899-12-30T02:40:10"/>
    <n v="79"/>
    <n v="0.46974331693044302"/>
  </r>
  <r>
    <s v="Hyd_Ashok Mahto (1008531)"/>
    <x v="16"/>
    <x v="19"/>
    <d v="1899-12-30T04:58:14"/>
    <d v="1899-12-30T01:14:30"/>
    <n v="78"/>
    <n v="0.57495313336904097"/>
  </r>
  <r>
    <s v="Hyd_Atul Kumar (1008532)"/>
    <x v="17"/>
    <x v="20"/>
    <d v="1899-12-30T04:53:40"/>
    <d v="1899-12-30T01:06:59"/>
    <n v="77"/>
    <n v="0.57945376590932096"/>
  </r>
  <r>
    <s v="Hyd_Azam (1008533)"/>
    <x v="18"/>
    <x v="21"/>
    <d v="1899-12-30T04:59:50"/>
    <d v="1899-12-30T01:09:47"/>
    <n v="76"/>
    <n v="0.588296375695049"/>
  </r>
  <r>
    <s v="Hyd_Bhagwat Singh (1008534)"/>
    <x v="19"/>
    <x v="22"/>
    <d v="1899-12-30T04:08:57"/>
    <d v="1899-12-30T02:10:18"/>
    <n v="75"/>
    <n v="0.46267686976609901"/>
  </r>
  <r>
    <s v="Hyd_Bindu Nair (1008535)"/>
    <x v="20"/>
    <x v="23"/>
    <d v="1899-12-30T04:14:05"/>
    <d v="1899-12-30T02:11:17"/>
    <n v="74"/>
    <n v="0.478030199972793"/>
  </r>
  <r>
    <s v="Hyd_Daleep Singh (1008536)"/>
    <x v="21"/>
    <x v="24"/>
    <d v="1899-12-30T05:26:56"/>
    <d v="1899-12-30T01:12:54"/>
    <n v="73"/>
    <n v="0.59983142279163904"/>
  </r>
  <r>
    <s v="Hyd_Deepak Kumar (1008537)"/>
    <x v="22"/>
    <x v="25"/>
    <d v="1899-12-30T05:05:16"/>
    <d v="1899-12-30T00:30:30"/>
    <n v="72"/>
    <n v="0.65029060203969702"/>
  </r>
  <r>
    <s v="Hyd_Deepika Nigam (1008538)"/>
    <x v="23"/>
    <x v="14"/>
    <d v="1899-12-30T04:56:45"/>
    <d v="1899-12-30T01:11:40"/>
    <n v="71"/>
    <n v="0.55001844461584903"/>
  </r>
  <r>
    <s v="Hyd_Dinesh Kumar (1008539)"/>
    <x v="24"/>
    <x v="26"/>
    <d v="1899-12-30T05:06:20"/>
    <d v="1899-12-30T01:10:03"/>
    <n v="70"/>
    <n v="0.51334660682347399"/>
  </r>
  <r>
    <s v="Hyd_Hari Kumar (1008540)"/>
    <x v="25"/>
    <x v="27"/>
    <d v="1899-12-30T04:11:43"/>
    <d v="1899-12-30T02:44:52"/>
    <n v="69"/>
    <n v="0.43603379219817601"/>
  </r>
  <r>
    <s v="Hyd_Heeramani Choudhary (1008541)"/>
    <x v="26"/>
    <x v="28"/>
    <d v="1899-12-30T04:35:28"/>
    <d v="1899-12-30T01:20:20"/>
    <n v="68"/>
    <n v="0.52954105200417201"/>
  </r>
  <r>
    <s v="Hyd_Indra Pal (1008542)"/>
    <x v="27"/>
    <x v="29"/>
    <d v="1899-12-30T05:14:16"/>
    <d v="1899-12-30T01:09:15"/>
    <n v="67"/>
    <n v="0.56446852102649603"/>
  </r>
  <r>
    <s v="Hyd_Indra Singh (1008543)"/>
    <x v="28"/>
    <x v="30"/>
    <d v="1899-12-30T05:05:03"/>
    <d v="1899-12-30T02:09:14"/>
    <n v="66"/>
    <n v="0.49789043664612898"/>
  </r>
  <r>
    <s v="Hyd_Jagdish Chandra (1008544)"/>
    <x v="29"/>
    <x v="31"/>
    <d v="1899-12-30T04:59:15"/>
    <d v="1899-12-30T01:09:03"/>
    <n v="65"/>
    <n v="0.56270450751252099"/>
  </r>
  <r>
    <s v="Hyd_Jairaj Vatham (1008545)"/>
    <x v="30"/>
    <x v="32"/>
    <d v="1899-12-30T05:02:08"/>
    <d v="1899-12-30T01:09:56"/>
    <n v="64"/>
    <n v="0.57680556021891705"/>
  </r>
  <r>
    <s v="Hyd_Janardan Mishra (1008546)"/>
    <x v="31"/>
    <x v="33"/>
    <d v="1899-12-30T04:32:56"/>
    <d v="1899-12-30T01:28:09"/>
    <n v="63"/>
    <n v="0.55728373576970502"/>
  </r>
  <r>
    <s v="Hyd_Jitendra Kumar (1008547)"/>
    <x v="32"/>
    <x v="34"/>
    <d v="1899-12-30T04:07:41"/>
    <d v="1899-12-30T02:35:12"/>
    <n v="62"/>
    <n v="0.47590463594126198"/>
  </r>
  <r>
    <s v="Hyd_John D'Costa (1008548)"/>
    <x v="33"/>
    <x v="35"/>
    <d v="1899-12-30T04:51:30"/>
    <d v="1899-12-30T01:09:36"/>
    <n v="61"/>
    <n v="0.55636846224520997"/>
  </r>
  <r>
    <s v="Hyd_Julie S (1008549)"/>
    <x v="34"/>
    <x v="36"/>
    <d v="1899-12-30T04:56:12"/>
    <d v="1899-12-30T01:10:44"/>
    <n v="60"/>
    <n v="0.527970147246689"/>
  </r>
  <r>
    <s v="Hyd_Jyoti Tulsani (1008550)"/>
    <x v="35"/>
    <x v="37"/>
    <d v="1899-12-30T04:56:56"/>
    <d v="1899-12-30T01:10:27"/>
    <n v="59"/>
    <n v="0.565025741108382"/>
  </r>
  <r>
    <s v="Hyd_Kahkasha Parveen (1008551)"/>
    <x v="36"/>
    <x v="38"/>
    <d v="1899-12-30T05:25:18"/>
    <d v="1899-12-30T01:10:12"/>
    <n v="58"/>
    <n v="0.48579278917035301"/>
  </r>
  <r>
    <s v="Hyd_Kailash Nath (1008552)"/>
    <x v="37"/>
    <x v="39"/>
    <d v="1899-12-30T04:58:27"/>
    <d v="1899-12-30T01:07:40"/>
    <n v="57"/>
    <n v="0.572258996673499"/>
  </r>
  <r>
    <s v="Hyd_Kalpana Agrawal (1008553)"/>
    <x v="38"/>
    <x v="40"/>
    <d v="1899-12-30T03:54:19"/>
    <d v="1899-12-30T02:24:54"/>
    <n v="56"/>
    <n v="0.46542627048042201"/>
  </r>
  <r>
    <s v="Hyd_Kamini Kumar (1008554)"/>
    <x v="39"/>
    <x v="41"/>
    <d v="1899-12-30T03:21:30"/>
    <d v="1899-12-30T00:15:00"/>
    <n v="55"/>
    <n v="0.64380836602751801"/>
  </r>
  <r>
    <s v="Hyd_Kamini Tiwari (1008555)"/>
    <x v="40"/>
    <x v="42"/>
    <d v="1899-12-30T05:18:49"/>
    <d v="1899-12-30T01:09:45"/>
    <n v="54"/>
    <n v="0.57347234098533195"/>
  </r>
  <r>
    <s v="Hyd_Kavita Sharma (1008556)"/>
    <x v="41"/>
    <x v="43"/>
    <d v="1899-12-30T05:26:19"/>
    <d v="1899-12-30T00:56:19"/>
    <n v="53"/>
    <n v="0.64717479317021698"/>
  </r>
  <r>
    <s v="Hyd_Kiran Khubchandani (1008557)"/>
    <x v="42"/>
    <x v="44"/>
    <d v="1899-12-30T04:13:15"/>
    <d v="1899-12-30T02:10:24"/>
    <n v="52"/>
    <n v="0.50443090556632497"/>
  </r>
  <r>
    <s v="Hyd_Kisun Sah (1008558)"/>
    <x v="43"/>
    <x v="45"/>
    <d v="1899-12-30T05:08:41"/>
    <d v="1899-12-30T01:09:28"/>
    <n v="51"/>
    <n v="0.55280122283511701"/>
  </r>
  <r>
    <s v="Hyd_Krishana Kumar (1008559)"/>
    <x v="44"/>
    <x v="46"/>
    <d v="1899-12-30T04:45:06"/>
    <d v="1899-12-30T01:09:45"/>
    <n v="50"/>
    <n v="0.55493137782561897"/>
  </r>
  <r>
    <s v="Hyd_Kunj Bihari (1008560)"/>
    <x v="45"/>
    <x v="47"/>
    <d v="1899-12-30T04:42:13"/>
    <d v="1899-12-30T01:10:11"/>
    <n v="49"/>
    <n v="0.55217497131332804"/>
  </r>
  <r>
    <s v="Hyd_Leena George (1008561)"/>
    <x v="46"/>
    <x v="48"/>
    <d v="1899-12-30T03:10:50"/>
    <d v="1899-12-30T00:18:10"/>
    <n v="48"/>
    <n v="0.58819557756147001"/>
  </r>
  <r>
    <s v="Hyd_Lilly Lucy (1008562)"/>
    <x v="47"/>
    <x v="49"/>
    <d v="1899-12-30T04:39:06"/>
    <d v="1899-12-30T01:14:44"/>
    <n v="47"/>
    <n v="0.55534863732407003"/>
  </r>
  <r>
    <s v="Hyd_Mangal Singh (1008563)"/>
    <x v="48"/>
    <x v="50"/>
    <d v="1899-12-30T04:46:25"/>
    <d v="1899-12-30T01:10:04"/>
    <n v="46"/>
    <n v="0.55815083469267301"/>
  </r>
  <r>
    <s v="Hyd_Manisha Shrivastava (1008564)"/>
    <x v="49"/>
    <x v="51"/>
    <d v="1899-12-30T04:51:12"/>
    <d v="1899-12-30T01:10:09"/>
    <n v="45"/>
    <n v="0.53002824185919895"/>
  </r>
  <r>
    <s v="Hyd_Manjusha Sinha (1008565)"/>
    <x v="50"/>
    <x v="52"/>
    <d v="1899-12-30T05:04:01"/>
    <d v="1899-12-30T01:10:39"/>
    <n v="44"/>
    <n v="0.54639905548996504"/>
  </r>
  <r>
    <s v="Hyd_ManjuTiwari Lab (1008566)"/>
    <x v="51"/>
    <x v="53"/>
    <d v="1899-12-30T04:26:11"/>
    <d v="1899-12-30T01:10:46"/>
    <n v="43"/>
    <n v="0.52849609939323905"/>
  </r>
  <r>
    <s v="Hyd_Manoj Kumar (1008567)"/>
    <x v="52"/>
    <x v="54"/>
    <d v="1899-12-30T04:28:58"/>
    <d v="1899-12-30T01:09:53"/>
    <n v="42"/>
    <n v="0.53279711551795905"/>
  </r>
  <r>
    <s v="Hyd_Manoj Kumar (1008568)"/>
    <x v="52"/>
    <x v="55"/>
    <d v="1899-12-30T04:29:51"/>
    <d v="1899-12-30T01:15:59"/>
    <n v="41"/>
    <n v="0.53150089401535605"/>
  </r>
  <r>
    <s v="Hyd_Masroor Adil (1008569)"/>
    <x v="53"/>
    <x v="23"/>
    <d v="1899-12-30T05:04:35"/>
    <d v="1899-12-30T01:11:39"/>
    <n v="40"/>
    <n v="0.58954564004897303"/>
  </r>
  <r>
    <s v="Hyd_Meena Zinjare (1008570)"/>
    <x v="54"/>
    <x v="56"/>
    <d v="1899-12-30T03:09:32"/>
    <d v="1899-12-30T03:34:45"/>
    <n v="39"/>
    <n v="0.34903360911806097"/>
  </r>
  <r>
    <s v="Hyd_Mehnaz Khan (1008571)"/>
    <x v="55"/>
    <x v="57"/>
    <d v="1899-12-30T04:08:21"/>
    <d v="1899-12-30T02:12:24"/>
    <n v="38"/>
    <n v="0.47933717288067101"/>
  </r>
  <r>
    <s v="Hyd_Mercy Thampi (1008572)"/>
    <x v="56"/>
    <x v="58"/>
    <d v="1899-12-30T03:38:44"/>
    <d v="1899-12-30T00:15:35"/>
    <n v="37"/>
    <n v="0.62762080802746201"/>
  </r>
  <r>
    <s v="Hyd_Miny Mole (1008573)"/>
    <x v="57"/>
    <x v="59"/>
    <d v="1899-12-30T04:14:06"/>
    <d v="1899-12-30T02:13:07"/>
    <n v="36"/>
    <n v="0.47561801557737898"/>
  </r>
  <r>
    <s v="Hyd_Mohd Rafi (1008574)"/>
    <x v="58"/>
    <x v="60"/>
    <d v="1899-12-30T03:55:15"/>
    <d v="1899-12-30T02:38:29"/>
    <n v="35"/>
    <n v="0.43635543840177599"/>
  </r>
  <r>
    <s v="Hyd_Mubeen Khan (1008575)"/>
    <x v="59"/>
    <x v="61"/>
    <d v="1899-12-30T03:50:43"/>
    <d v="1899-12-30T02:24:38"/>
    <n v="34"/>
    <n v="0.451270369721395"/>
  </r>
  <r>
    <s v="Hyd_Mukesh Nagar (1008576)"/>
    <x v="60"/>
    <x v="62"/>
    <d v="1899-12-30T03:13:40"/>
    <d v="1899-12-30T00:29:34"/>
    <n v="33"/>
    <n v="0.61244257486024201"/>
  </r>
  <r>
    <s v="Hyd_Nandu Kumar (1008577)"/>
    <x v="61"/>
    <x v="63"/>
    <d v="1899-12-30T04:43:39"/>
    <d v="1899-12-30T01:14:03"/>
    <n v="32"/>
    <n v="0.51755872288115901"/>
  </r>
  <r>
    <s v="Hyd_Narayan Singh (1008578)"/>
    <x v="62"/>
    <x v="64"/>
    <d v="1899-12-30T04:54:19"/>
    <d v="1899-12-30T01:08:27"/>
    <n v="31"/>
    <n v="0.55550735760285597"/>
  </r>
  <r>
    <s v="Hyd_Neeraj Saxena (1008579)"/>
    <x v="63"/>
    <x v="65"/>
    <d v="1899-12-30T04:36:09"/>
    <d v="1899-12-30T02:15:18"/>
    <n v="30"/>
    <n v="0.45535862734013899"/>
  </r>
  <r>
    <s v="Hyd_Neeru Mehta (1008580)"/>
    <x v="64"/>
    <x v="66"/>
    <d v="1899-12-30T04:44:15"/>
    <d v="1899-12-30T01:10:03"/>
    <n v="29"/>
    <n v="0.53445058742225304"/>
  </r>
  <r>
    <s v="Hyd_Nikita Panwalkar (1008581)"/>
    <x v="65"/>
    <x v="67"/>
    <d v="1899-12-30T04:58:45"/>
    <d v="1899-12-30T01:37:25"/>
    <n v="28"/>
    <n v="0.55914916459773201"/>
  </r>
  <r>
    <s v="Hyd_Nitin Bhatia (1008582)"/>
    <x v="66"/>
    <x v="68"/>
    <d v="1899-12-30T04:44:56"/>
    <d v="1899-12-30T01:09:53"/>
    <n v="29"/>
    <n v="0.56847106148351101"/>
  </r>
  <r>
    <s v="Hyd_Om Prakash (1008583)"/>
    <x v="67"/>
    <x v="69"/>
    <d v="1899-12-30T04:26:21"/>
    <d v="1899-12-30T01:36:03"/>
    <n v="30"/>
    <n v="0.47509108744394601"/>
  </r>
  <r>
    <s v="Hyd_Omprakash O (1008584)"/>
    <x v="68"/>
    <x v="70"/>
    <d v="1899-12-30T04:02:05"/>
    <d v="1899-12-30T02:11:54"/>
    <n v="31"/>
    <n v="0.47578531804104401"/>
  </r>
  <r>
    <s v="Hyd_Owais Mohd (1008585)"/>
    <x v="69"/>
    <x v="71"/>
    <d v="1899-12-30T04:02:50"/>
    <d v="1899-12-30T02:26:26"/>
    <n v="32"/>
    <n v="0.46898271622042897"/>
  </r>
  <r>
    <s v="Hyd_Pankaj Shelkey (1008586)"/>
    <x v="70"/>
    <x v="72"/>
    <d v="1899-12-30T04:26:54"/>
    <d v="1899-12-30T01:55:26"/>
    <n v="33"/>
    <n v="0.51361161524500898"/>
  </r>
  <r>
    <s v="Hyd_Partha Sarathi (1008587)"/>
    <x v="71"/>
    <x v="73"/>
    <d v="1899-12-30T05:11:39"/>
    <d v="1899-12-30T01:38:42"/>
    <n v="34"/>
    <n v="0.525112224318522"/>
  </r>
  <r>
    <s v="Hyd_Prabha Desikan (1008588)"/>
    <x v="72"/>
    <x v="74"/>
    <d v="1899-12-30T03:03:51"/>
    <d v="1899-12-30T04:11:26"/>
    <n v="35"/>
    <n v="0.348600086352918"/>
  </r>
  <r>
    <s v="Hyd_Pramod Tiwari (1008589)"/>
    <x v="73"/>
    <x v="75"/>
    <d v="1899-12-30T02:54:03"/>
    <d v="1899-12-30T04:21:06"/>
    <n v="36"/>
    <n v="0.314709762532982"/>
  </r>
  <r>
    <s v="Hyd_Prasannakumari S (1008590)"/>
    <x v="74"/>
    <x v="76"/>
    <d v="1899-12-30T05:10:46"/>
    <d v="1899-12-30T01:10:25"/>
    <n v="37"/>
    <n v="0.55600710333993597"/>
  </r>
  <r>
    <s v="Hyd_Praveen Kumar (1008591)"/>
    <x v="75"/>
    <x v="77"/>
    <d v="1899-12-30T04:08:46"/>
    <d v="1899-12-30T02:37:28"/>
    <n v="38"/>
    <n v="0.46221628838451301"/>
  </r>
  <r>
    <s v="Hyd_Rachel Mathew (1008592)"/>
    <x v="76"/>
    <x v="78"/>
    <d v="1899-12-30T03:40:53"/>
    <d v="1899-12-30T03:20:01"/>
    <n v="39"/>
    <n v="0.39075685654008402"/>
  </r>
  <r>
    <s v="Hyd_Rachita Anupam (1008593)"/>
    <x v="77"/>
    <x v="79"/>
    <d v="1899-12-30T05:16:03"/>
    <d v="1899-12-30T01:08:32"/>
    <n v="40"/>
    <n v="0.54713623850130899"/>
  </r>
  <r>
    <s v="Hyd_Rachna Chauhan (1008594)"/>
    <x v="78"/>
    <x v="80"/>
    <d v="1899-12-30T05:07:23"/>
    <d v="1899-12-30T00:30:20"/>
    <n v="41"/>
    <n v="0.61457229509993805"/>
  </r>
  <r>
    <s v="Hyd_Raj Kumar (1008595)"/>
    <x v="79"/>
    <x v="81"/>
    <d v="1899-12-30T05:03:51"/>
    <d v="1899-12-30T01:08:44"/>
    <n v="42"/>
    <n v="0.55335578460387103"/>
  </r>
  <r>
    <s v="Hyd_Rajeev Garg (1008596)"/>
    <x v="80"/>
    <x v="82"/>
    <d v="1899-12-30T05:05:29"/>
    <d v="1899-12-30T01:08:24"/>
    <n v="43"/>
    <n v="0.611363636363636"/>
  </r>
  <r>
    <s v="Hyd_Rajeev Kumar (1008597)"/>
    <x v="81"/>
    <x v="83"/>
    <d v="1899-12-30T04:28:51"/>
    <d v="1899-12-30T01:37:06"/>
    <n v="44"/>
    <n v="0.51217732689434703"/>
  </r>
  <r>
    <s v="Hyd_Rajendra Gupta (1008598)"/>
    <x v="82"/>
    <x v="84"/>
    <d v="1899-12-30T04:58:12"/>
    <d v="1899-12-30T01:19:08"/>
    <n v="45"/>
    <n v="0.56029910728991705"/>
  </r>
  <r>
    <s v="Hyd_Rajendra Kumar (1008599)"/>
    <x v="83"/>
    <x v="85"/>
    <d v="1899-12-30T03:55:22"/>
    <d v="1899-12-30T02:34:16"/>
    <n v="46"/>
    <n v="0.42891793558819602"/>
  </r>
  <r>
    <s v="Hyd_Rajendra Prasad (1008600)"/>
    <x v="84"/>
    <x v="86"/>
    <d v="1899-12-30T00:48:33"/>
    <d v="1899-12-30T07:08:19"/>
    <n v="47"/>
    <n v="9.4547987000066294E-2"/>
  </r>
  <r>
    <s v="Hyd_Rajesh Kumar (1008601)"/>
    <x v="85"/>
    <x v="87"/>
    <d v="1899-12-30T05:11:50"/>
    <d v="1899-12-30T01:12:04"/>
    <n v="48"/>
    <n v="0.61021533340268397"/>
  </r>
  <r>
    <s v="Hyd_Rajesh Kumar (1008602)"/>
    <x v="85"/>
    <x v="88"/>
    <d v="1899-12-30T04:49:40"/>
    <d v="1899-12-30T02:06:35"/>
    <n v="49"/>
    <n v="0.51260926353863201"/>
  </r>
  <r>
    <s v="Hyd_Rajesh Sharma (1008603)"/>
    <x v="86"/>
    <x v="89"/>
    <d v="1899-12-30T03:24:21"/>
    <d v="1899-12-30T00:24:27"/>
    <n v="50"/>
    <n v="0.62426796562859199"/>
  </r>
  <r>
    <s v="Hyd_Raji Abraham (1008604)"/>
    <x v="87"/>
    <x v="90"/>
    <d v="1899-12-30T04:44:35"/>
    <d v="1899-12-30T01:09:28"/>
    <n v="51"/>
    <n v="0.54373153085832704"/>
  </r>
  <r>
    <s v="Hyd_Rajshree Dhabekar (1008605)"/>
    <x v="88"/>
    <x v="91"/>
    <e v="#VALUE!"/>
    <d v="1899-12-30T08:15:09"/>
    <n v="52"/>
    <n v="0"/>
  </r>
  <r>
    <s v="Hyd_Rakhi Jodhani (1008606)"/>
    <x v="89"/>
    <x v="92"/>
    <d v="1899-12-30T01:13:06"/>
    <d v="1899-12-30T06:39:44"/>
    <n v="53"/>
    <n v="0.14431174927516199"/>
  </r>
  <r>
    <s v="Hyd_Ramji Prasad (1008607)"/>
    <x v="90"/>
    <x v="93"/>
    <d v="1899-12-30T04:53:04"/>
    <d v="1899-12-30T01:13:46"/>
    <n v="54"/>
    <n v="0.55259293866381898"/>
  </r>
  <r>
    <s v="Del_Rashid (1008608)"/>
    <x v="91"/>
    <x v="94"/>
    <d v="1899-12-30T01:36:08"/>
    <d v="1899-12-30T05:45:13"/>
    <n v="55"/>
    <n v="0.18938817836156199"/>
  </r>
  <r>
    <s v="Del_Rashmi Gajbe (1008609)"/>
    <x v="92"/>
    <x v="95"/>
    <d v="1899-12-30T04:16:57"/>
    <d v="1899-12-30T02:04:58"/>
    <n v="56"/>
    <n v="0.47077424938419499"/>
  </r>
  <r>
    <s v="Del_Ravi Kumar (1008610)"/>
    <x v="93"/>
    <x v="54"/>
    <d v="1899-12-30T04:47:03"/>
    <d v="1899-12-30T01:11:14"/>
    <n v="57"/>
    <n v="0.53862155040909698"/>
  </r>
  <r>
    <s v="Del_Ravinder Kaur (1008611)"/>
    <x v="94"/>
    <x v="96"/>
    <d v="1899-12-30T04:38:57"/>
    <d v="1899-12-30T01:09:28"/>
    <n v="58"/>
    <n v="0.53294365856189296"/>
  </r>
  <r>
    <s v="Del_Rekha Agarwal (1008612)"/>
    <x v="95"/>
    <x v="97"/>
    <d v="1899-12-30T02:53:07"/>
    <d v="1899-12-30T02:41:42"/>
    <n v="59"/>
    <n v="0.41310286360211002"/>
  </r>
  <r>
    <s v="Del_Rekha Gupta (1008613)"/>
    <x v="96"/>
    <x v="98"/>
    <d v="1899-12-30T04:22:52"/>
    <d v="1899-12-30T01:50:37"/>
    <n v="60"/>
    <n v="0.50483838451717"/>
  </r>
  <r>
    <s v="Del_Rekha Jain  (1008614)"/>
    <x v="97"/>
    <x v="99"/>
    <d v="1899-12-30T04:25:29"/>
    <d v="1899-12-30T01:36:57"/>
    <n v="61"/>
    <n v="0.52390558805729304"/>
  </r>
  <r>
    <s v="Del_Renu Pratap (1008615)"/>
    <x v="98"/>
    <x v="100"/>
    <d v="1899-12-30T02:30:29"/>
    <d v="1899-12-30T05:07:55"/>
    <n v="62"/>
    <n v="0.25444780127559602"/>
  </r>
  <r>
    <s v="Del_Ritu Bhatnagar (1008616)"/>
    <x v="99"/>
    <x v="101"/>
    <d v="1899-12-30T04:52:13"/>
    <d v="1899-12-30T01:13:20"/>
    <n v="63"/>
    <n v="0.55517503805174995"/>
  </r>
  <r>
    <s v="Del_Rohit Nishchal (1008617)"/>
    <x v="100"/>
    <x v="102"/>
    <e v="#VALUE!"/>
    <d v="1899-12-30T08:17:00"/>
    <n v="64"/>
    <n v="0"/>
  </r>
  <r>
    <s v="Del_Roli Bhatnagar (1008618)"/>
    <x v="101"/>
    <x v="0"/>
    <d v="1899-12-30T04:08:30"/>
    <d v="1899-12-30T02:10:16"/>
    <n v="65"/>
    <n v="0.477120667047709"/>
  </r>
  <r>
    <s v="Del_Roma Rastogi (1008619)"/>
    <x v="102"/>
    <x v="103"/>
    <d v="1899-12-30T05:35:38"/>
    <d v="1899-12-30T00:53:47"/>
    <n v="66"/>
    <n v="0.61917030852521004"/>
  </r>
  <r>
    <s v="Del_Roohi Haider (1008620)"/>
    <x v="103"/>
    <x v="104"/>
    <d v="1899-12-30T04:52:11"/>
    <d v="1899-12-30T01:09:24"/>
    <n v="67"/>
    <n v="0.55305265350039901"/>
  </r>
  <r>
    <s v="Del_Sajid Naqvi (1008621)"/>
    <x v="104"/>
    <x v="105"/>
    <d v="1899-12-30T05:00:37"/>
    <d v="1899-12-30T01:08:40"/>
    <n v="68"/>
    <n v="0.56195374478956595"/>
  </r>
  <r>
    <s v="Del_Salim (1008622)"/>
    <x v="105"/>
    <x v="106"/>
    <d v="1899-12-30T04:37:42"/>
    <d v="1899-12-30T01:59:29"/>
    <n v="69"/>
    <n v="0.48780077967468699"/>
  </r>
  <r>
    <s v="Del_Sanjay Hire (1008623)"/>
    <x v="106"/>
    <x v="107"/>
    <d v="1899-12-30T05:00:14"/>
    <d v="1899-12-30T01:09:43"/>
    <n v="70"/>
    <n v="0.55414762032804499"/>
  </r>
  <r>
    <s v="Del_Sanjiv Subherwal (1008624)"/>
    <x v="107"/>
    <x v="108"/>
    <d v="1899-12-30T05:06:07"/>
    <d v="1899-12-30T01:10:15"/>
    <n v="71"/>
    <n v="0.58651553374572396"/>
  </r>
  <r>
    <s v="Del_Sanju Ramdas (1008625)"/>
    <x v="108"/>
    <x v="109"/>
    <d v="1899-12-30T05:19:44"/>
    <d v="1899-12-30T01:13:56"/>
    <n v="72"/>
    <n v="0.58165871362322696"/>
  </r>
  <r>
    <s v="Del_Santosh Kumar (1008626)"/>
    <x v="109"/>
    <x v="60"/>
    <d v="1899-12-30T05:03:10"/>
    <d v="1899-12-30T01:09:48"/>
    <n v="73"/>
    <n v="0.59073251942286398"/>
  </r>
  <r>
    <s v="Del_Santosh Kumar (1008627)"/>
    <x v="109"/>
    <x v="110"/>
    <d v="1899-12-30T05:09:57"/>
    <d v="1899-12-30T01:10:58"/>
    <n v="74"/>
    <n v="0.58640692060085797"/>
  </r>
  <r>
    <s v="Del_Santosh Kumar (1008628)"/>
    <x v="109"/>
    <x v="111"/>
    <d v="1899-12-30T04:44:19"/>
    <d v="1899-12-30T01:12:01"/>
    <n v="75"/>
    <n v="0.54653369681493502"/>
  </r>
  <r>
    <s v="Del_Sapna Sharma (1008629)"/>
    <x v="110"/>
    <x v="112"/>
    <d v="1899-12-30T04:33:29"/>
    <d v="1899-12-30T01:32:37"/>
    <n v="76"/>
    <n v="0.53238796723342696"/>
  </r>
  <r>
    <s v="Del_Saroj Parita (1008630)"/>
    <x v="111"/>
    <x v="113"/>
    <d v="1899-12-30T04:31:42"/>
    <d v="1899-12-30T01:45:37"/>
    <n v="77"/>
    <n v="0.47020989660776702"/>
  </r>
  <r>
    <s v="Del_Shailaja Kamal (1008631)"/>
    <x v="112"/>
    <x v="114"/>
    <d v="1899-12-30T04:51:46"/>
    <d v="1899-12-30T01:08:46"/>
    <n v="78"/>
    <n v="0.54633099407235797"/>
  </r>
  <r>
    <s v="Del_Shailendra Barge (1008632)"/>
    <x v="113"/>
    <x v="115"/>
    <d v="1899-12-30T03:26:09"/>
    <d v="1899-12-30T03:43:06"/>
    <n v="79"/>
    <n v="0.38820416638756799"/>
  </r>
  <r>
    <s v="Del_Shankar Attendant (1008633)"/>
    <x v="114"/>
    <x v="116"/>
    <d v="1899-12-30T03:27:15"/>
    <d v="1899-12-30T03:15:05"/>
    <n v="80"/>
    <n v="0.40277584042404802"/>
  </r>
  <r>
    <s v="Del_Shashikant Tiwari (1008634)"/>
    <x v="115"/>
    <x v="117"/>
    <d v="1899-12-30T05:19:10"/>
    <d v="1899-12-30T01:09:59"/>
    <n v="81"/>
    <n v="0.54352584610203702"/>
  </r>
  <r>
    <s v="Del_Sheeba Joseph (1008635)"/>
    <x v="116"/>
    <x v="118"/>
    <d v="1899-12-30T03:41:07"/>
    <d v="1899-12-30T00:55:39"/>
    <n v="82"/>
    <n v="0.28371986821932998"/>
  </r>
  <r>
    <s v="Del_Sheena Joseph (1008636)"/>
    <x v="117"/>
    <x v="119"/>
    <d v="1899-12-30T05:10:26"/>
    <d v="1899-12-30T01:41:30"/>
    <n v="83"/>
    <n v="0.56196890539434796"/>
  </r>
  <r>
    <s v="Del_Shephali Jain (1008637)"/>
    <x v="118"/>
    <x v="120"/>
    <d v="1899-12-30T03:41:29"/>
    <d v="1899-12-30T03:23:49"/>
    <n v="84"/>
    <n v="0.40332201825791802"/>
  </r>
  <r>
    <s v="Del_Shivji Prasad (1008638)"/>
    <x v="119"/>
    <x v="121"/>
    <d v="1899-12-30T04:12:39"/>
    <d v="1899-12-30T02:17:48"/>
    <n v="85"/>
    <n v="0.43796610169491501"/>
  </r>
  <r>
    <s v="Del_Shubhanjali Joshi (1008639)"/>
    <x v="120"/>
    <x v="122"/>
    <d v="1899-12-30T04:54:52"/>
    <d v="1899-12-30T01:19:32"/>
    <n v="86"/>
    <n v="0.55581995508931903"/>
  </r>
  <r>
    <s v="Del_Shyamal Malakar (1008640)"/>
    <x v="121"/>
    <x v="1"/>
    <d v="1899-12-30T02:53:35"/>
    <d v="1899-12-30T04:35:37"/>
    <n v="87"/>
    <n v="0.326035781544256"/>
  </r>
  <r>
    <s v="Del_Sneh Khan (1008641)"/>
    <x v="122"/>
    <x v="123"/>
    <d v="1899-12-30T05:06:25"/>
    <d v="1899-12-30T01:09:51"/>
    <n v="88"/>
    <n v="0.57404190086867701"/>
  </r>
  <r>
    <s v="Del_Sonaram Munda (1008642)"/>
    <x v="123"/>
    <x v="124"/>
    <d v="1899-12-30T04:11:10"/>
    <d v="1899-12-30T01:57:15"/>
    <n v="89"/>
    <n v="0.45359037481363301"/>
  </r>
  <r>
    <s v="Del_Sudama Kumar (1008643)"/>
    <x v="124"/>
    <x v="35"/>
    <d v="1899-12-30T02:38:49"/>
    <d v="1899-12-30T04:36:20"/>
    <n v="90"/>
    <n v="0.29689998979140397"/>
  </r>
  <r>
    <s v="Del_Sudhir Kumar (1008644)"/>
    <x v="125"/>
    <x v="125"/>
    <d v="1899-12-30T04:35:36"/>
    <d v="1899-12-30T01:14:24"/>
    <n v="91"/>
    <n v="0.55729058227496697"/>
  </r>
  <r>
    <s v="Del_Sunil Kumar (1008645)"/>
    <x v="126"/>
    <x v="126"/>
    <d v="1899-12-30T02:58:37"/>
    <d v="1899-12-30T03:56:57"/>
    <n v="92"/>
    <n v="0.33279321519685601"/>
  </r>
  <r>
    <s v="Del_Sunil Kumar (1008646)"/>
    <x v="126"/>
    <x v="127"/>
    <d v="1899-12-30T04:05:03"/>
    <d v="1899-12-30T02:16:51"/>
    <n v="93"/>
    <n v="0.472308115165258"/>
  </r>
  <r>
    <s v="Del_Sunita Chawla (1008647)"/>
    <x v="127"/>
    <x v="128"/>
    <d v="1899-12-30T04:31:57"/>
    <d v="1899-12-30T02:06:43"/>
    <n v="94"/>
    <n v="0.51110729613733896"/>
  </r>
  <r>
    <s v="Del_Sunita Madnani (1008648)"/>
    <x v="128"/>
    <x v="129"/>
    <d v="1899-12-30T05:19:12"/>
    <d v="1899-12-30T01:08:15"/>
    <n v="95"/>
    <n v="0.58886040078267299"/>
  </r>
  <r>
    <s v="Del_Surendra Kumar (1008649)"/>
    <x v="129"/>
    <x v="130"/>
    <d v="1899-12-30T02:54:25"/>
    <d v="1899-12-30T03:46:52"/>
    <n v="96"/>
    <n v="0.34289424860853401"/>
  </r>
  <r>
    <s v="Del_Surendranath Thakur (1008650)"/>
    <x v="130"/>
    <x v="131"/>
    <d v="1899-12-30T04:36:50"/>
    <d v="1899-12-30T02:17:05"/>
    <n v="97"/>
    <n v="0.497486459313074"/>
  </r>
  <r>
    <s v="Del_Sushma Khandelwal (1008651)"/>
    <x v="131"/>
    <x v="132"/>
    <d v="1899-12-30T04:50:07"/>
    <d v="1899-12-30T01:10:21"/>
    <n v="98"/>
    <n v="0.52431431936732298"/>
  </r>
  <r>
    <s v="Del_Swarnlata Borse (1008652)"/>
    <x v="132"/>
    <x v="133"/>
    <d v="1899-12-30T02:59:39"/>
    <d v="1899-12-30T04:32:37"/>
    <n v="99"/>
    <n v="0.31066956086157999"/>
  </r>
  <r>
    <s v="Del_Syed Naved (1008653)"/>
    <x v="133"/>
    <x v="134"/>
    <d v="1899-12-30T05:24:05"/>
    <d v="1899-12-30T01:14:44"/>
    <n v="100"/>
    <n v="0.58462473412336702"/>
  </r>
  <r>
    <s v="Del_Syed Saqib (1008654)"/>
    <x v="134"/>
    <x v="135"/>
    <d v="1899-12-30T02:52:08"/>
    <d v="1899-12-30T05:03:34"/>
    <n v="101"/>
    <n v="0.31685816164817698"/>
  </r>
  <r>
    <s v="Del_Syed Sohail (1008655)"/>
    <x v="135"/>
    <x v="136"/>
    <d v="1899-12-30T04:51:52"/>
    <d v="1899-12-30T01:12:04"/>
    <n v="102"/>
    <n v="0.56375322197301903"/>
  </r>
  <r>
    <s v="Del_System Operator (1008656)"/>
    <x v="136"/>
    <x v="137"/>
    <d v="1899-12-30T05:15:36"/>
    <d v="1899-12-30T00:56:05"/>
    <n v="103"/>
    <n v="0.54779147908918902"/>
  </r>
  <r>
    <s v="Del_Tahira Qureshi (1008657)"/>
    <x v="137"/>
    <x v="138"/>
    <d v="1899-12-30T03:36:51"/>
    <d v="1899-12-30T04:02:30"/>
    <n v="104"/>
    <n v="0.37965983593576802"/>
  </r>
  <r>
    <s v="Del_Tapas Chakraborty (1008658)"/>
    <x v="138"/>
    <x v="139"/>
    <d v="1899-12-30T05:15:14"/>
    <d v="1899-12-30T01:12:11"/>
    <n v="105"/>
    <n v="0.56529498922413801"/>
  </r>
  <r>
    <s v="Del_Tariq Akhlaq (1008659)"/>
    <x v="139"/>
    <x v="140"/>
    <d v="1899-12-30T03:08:41"/>
    <d v="1899-12-30T00:15:03"/>
    <n v="106"/>
    <n v="0.60261183662128404"/>
  </r>
  <r>
    <s v="Del_Tasneem Khan (1008660)"/>
    <x v="140"/>
    <x v="141"/>
    <d v="1899-12-30T04:38:49"/>
    <d v="1899-12-30T02:16:51"/>
    <n v="107"/>
    <n v="0.498135235933192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708B14-2481-4F0B-B630-618A2979CC4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8" firstHeaderRow="1" firstDataRow="1" firstDataCol="1"/>
  <pivotFields count="9">
    <pivotField showAll="0"/>
    <pivotField showAll="0"/>
    <pivotField showAll="0"/>
    <pivotField showAll="0">
      <items count="9">
        <item x="4"/>
        <item x="0"/>
        <item x="6"/>
        <item x="2"/>
        <item x="5"/>
        <item x="1"/>
        <item x="3"/>
        <item x="7"/>
        <item t="default"/>
      </items>
    </pivotField>
    <pivotField showAll="0"/>
    <pivotField showAll="0"/>
    <pivotField axis="axisRow" showAll="0">
      <items count="5">
        <item x="0"/>
        <item x="1"/>
        <item x="2"/>
        <item x="3"/>
        <item t="default"/>
      </items>
    </pivotField>
    <pivotField dataField="1" showAll="0"/>
    <pivotField showAll="0"/>
  </pivotFields>
  <rowFields count="1">
    <field x="6"/>
  </rowFields>
  <rowItems count="5">
    <i>
      <x/>
    </i>
    <i>
      <x v="1"/>
    </i>
    <i>
      <x v="2"/>
    </i>
    <i>
      <x v="3"/>
    </i>
    <i t="grand">
      <x/>
    </i>
  </rowItems>
  <colItems count="1">
    <i/>
  </colItems>
  <dataFields count="1">
    <dataField name="Sum of Sales" fld="7" baseField="0" baseItem="0"/>
  </dataFields>
  <chartFormats count="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6" count="1" selected="0">
            <x v="0"/>
          </reference>
        </references>
      </pivotArea>
    </chartFormat>
    <chartFormat chart="0" format="3">
      <pivotArea type="data" outline="0" fieldPosition="0">
        <references count="2">
          <reference field="4294967294" count="1" selected="0">
            <x v="0"/>
          </reference>
          <reference field="6" count="1" selected="0">
            <x v="2"/>
          </reference>
        </references>
      </pivotArea>
    </chartFormat>
    <chartFormat chart="0" format="6">
      <pivotArea type="data" outline="0" fieldPosition="0">
        <references count="2">
          <reference field="4294967294" count="1" selected="0">
            <x v="0"/>
          </reference>
          <reference field="6" count="1" selected="0">
            <x v="1"/>
          </reference>
        </references>
      </pivotArea>
    </chartFormat>
    <chartFormat chart="0" format="7">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AB40B0-DB90-4344-A952-3401856E9778}" name="PivotTable9" cacheId="1" applyNumberFormats="0" applyBorderFormats="0" applyFontFormats="0" applyPatternFormats="0" applyAlignmentFormats="0" applyWidthHeightFormats="1" dataCaption="Values" updatedVersion="8" minRefreshableVersion="5" itemPrintTitles="1" createdVersion="8" indent="0" outline="1" outlineData="1" multipleFieldFilters="0">
  <location ref="A15:B17" firstHeaderRow="1" firstDataRow="2" firstDataCol="1"/>
  <pivotFields count="12">
    <pivotField showAll="0"/>
    <pivotField numFmtId="14" showAll="0">
      <items count="17">
        <item x="0"/>
        <item x="1"/>
        <item x="2"/>
        <item x="3"/>
        <item x="4"/>
        <item x="5"/>
        <item x="6"/>
        <item x="7"/>
        <item x="8"/>
        <item x="9"/>
        <item x="10"/>
        <item x="11"/>
        <item x="12"/>
        <item x="13"/>
        <item x="14"/>
        <item x="15"/>
        <item t="default"/>
      </items>
    </pivotField>
    <pivotField showAll="0"/>
    <pivotField showAll="0">
      <items count="8">
        <item h="1" x="4"/>
        <item x="0"/>
        <item h="1" x="6"/>
        <item h="1" x="2"/>
        <item h="1" x="5"/>
        <item h="1" x="1"/>
        <item h="1" x="3"/>
        <item t="default"/>
      </items>
    </pivotField>
    <pivotField axis="axisRow" showAll="0">
      <items count="11">
        <item x="6"/>
        <item x="9"/>
        <item x="2"/>
        <item x="7"/>
        <item x="1"/>
        <item x="5"/>
        <item x="8"/>
        <item x="4"/>
        <item x="3"/>
        <item x="0"/>
        <item t="default"/>
      </items>
    </pivotField>
    <pivotField showAll="0"/>
    <pivotField axis="axisCol" showAll="0">
      <items count="4">
        <item h="1" x="0"/>
        <item h="1" x="1"/>
        <item x="2"/>
        <item t="default"/>
      </items>
    </pivotField>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4"/>
  </rowFields>
  <rowItems count="1">
    <i t="grand">
      <x/>
    </i>
  </rowItems>
  <colFields count="1">
    <field x="6"/>
  </colFields>
  <colItems count="1">
    <i t="grand">
      <x/>
    </i>
  </colItems>
  <dataFields count="1">
    <dataField name="Sum of Sales" fld="7" baseField="0" baseItem="0"/>
  </dataFields>
  <pivotTableStyleInfo name="PivotStyleLight16" showRowHeaders="1" showColHeaders="1" showRowStripes="0" showColStripes="0" showLastColumn="1"/>
  <filters count="1">
    <filter fld="1" type="dateBetween" evalOrder="-1" id="35" name="Order Date">
      <autoFilter ref="A1">
        <filterColumn colId="0">
          <customFilters and="1">
            <customFilter operator="greaterThanOrEqual" val="43252"/>
            <customFilter operator="lessThanOrEqual" val="432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42E1A35-987A-4AA6-9D8F-B5ECC0DD5EBA}" name="PivotTable6" cacheId="1" applyNumberFormats="0" applyBorderFormats="0" applyFontFormats="0" applyPatternFormats="0" applyAlignmentFormats="0" applyWidthHeightFormats="1" dataCaption="Values" updatedVersion="8" minRefreshableVersion="5" itemPrintTitles="1" createdVersion="8" indent="0" outline="1" outlineData="1" multipleFieldFilters="0">
  <location ref="A3:B5" firstHeaderRow="1" firstDataRow="2" firstDataCol="1"/>
  <pivotFields count="12">
    <pivotField showAll="0"/>
    <pivotField numFmtId="14" showAll="0">
      <items count="17">
        <item x="0"/>
        <item x="1"/>
        <item x="2"/>
        <item x="3"/>
        <item x="4"/>
        <item x="5"/>
        <item x="6"/>
        <item x="7"/>
        <item x="8"/>
        <item x="9"/>
        <item x="10"/>
        <item x="11"/>
        <item x="12"/>
        <item x="13"/>
        <item x="14"/>
        <item x="15"/>
        <item t="default"/>
      </items>
    </pivotField>
    <pivotField showAll="0"/>
    <pivotField axis="axisRow" showAll="0">
      <items count="8">
        <item h="1" x="4"/>
        <item x="0"/>
        <item h="1" x="6"/>
        <item h="1" x="2"/>
        <item h="1" x="5"/>
        <item h="1" x="1"/>
        <item h="1" x="3"/>
        <item t="default"/>
      </items>
    </pivotField>
    <pivotField showAll="0">
      <items count="11">
        <item x="6"/>
        <item x="9"/>
        <item x="2"/>
        <item x="7"/>
        <item x="1"/>
        <item x="5"/>
        <item x="8"/>
        <item x="4"/>
        <item x="3"/>
        <item x="0"/>
        <item t="default"/>
      </items>
    </pivotField>
    <pivotField showAll="0"/>
    <pivotField axis="axisCol" showAll="0">
      <items count="4">
        <item h="1" x="0"/>
        <item h="1" x="1"/>
        <item x="2"/>
        <item t="default"/>
      </items>
    </pivotField>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3"/>
  </rowFields>
  <rowItems count="1">
    <i t="grand">
      <x/>
    </i>
  </rowItems>
  <colFields count="1">
    <field x="6"/>
  </colFields>
  <colItems count="1">
    <i t="grand">
      <x/>
    </i>
  </colItems>
  <dataFields count="1">
    <dataField name="Sum of Sales" fld="7" baseField="0" baseItem="0"/>
  </dataFields>
  <pivotTableStyleInfo name="PivotStyleLight16" showRowHeaders="1" showColHeaders="1" showRowStripes="0" showColStripes="0" showLastColumn="1"/>
  <filters count="1">
    <filter fld="1" type="dateBetween" evalOrder="-1" id="35" name="Order Date">
      <autoFilter ref="A1">
        <filterColumn colId="0">
          <customFilters and="1">
            <customFilter operator="greaterThanOrEqual" val="43252"/>
            <customFilter operator="lessThanOrEqual" val="432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23C601-EE33-49D3-9FA6-63D7731D2875}" name="PivotTable10"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J6:K7" firstHeaderRow="1" firstDataRow="1" firstDataCol="1"/>
  <pivotFields count="12">
    <pivotField showAll="0"/>
    <pivotField numFmtId="14" showAll="0">
      <items count="17">
        <item x="0"/>
        <item x="1"/>
        <item x="2"/>
        <item x="3"/>
        <item x="4"/>
        <item x="5"/>
        <item x="6"/>
        <item x="7"/>
        <item x="8"/>
        <item x="9"/>
        <item x="10"/>
        <item x="11"/>
        <item x="12"/>
        <item x="13"/>
        <item x="14"/>
        <item x="15"/>
        <item t="default"/>
      </items>
    </pivotField>
    <pivotField showAll="0"/>
    <pivotField showAll="0">
      <items count="8">
        <item h="1" x="4"/>
        <item x="0"/>
        <item h="1" x="6"/>
        <item h="1" x="2"/>
        <item h="1" x="5"/>
        <item h="1" x="1"/>
        <item h="1" x="3"/>
        <item t="default"/>
      </items>
    </pivotField>
    <pivotField showAll="0">
      <items count="11">
        <item x="6"/>
        <item x="9"/>
        <item x="2"/>
        <item x="7"/>
        <item x="1"/>
        <item x="5"/>
        <item x="8"/>
        <item x="4"/>
        <item x="3"/>
        <item x="0"/>
        <item t="default"/>
      </items>
    </pivotField>
    <pivotField axis="axisRow" showAll="0">
      <items count="12">
        <item x="8"/>
        <item x="2"/>
        <item x="4"/>
        <item x="3"/>
        <item x="1"/>
        <item x="9"/>
        <item x="5"/>
        <item x="6"/>
        <item x="10"/>
        <item x="0"/>
        <item x="7"/>
        <item t="default"/>
      </items>
    </pivotField>
    <pivotField showAll="0">
      <items count="4">
        <item h="1" x="0"/>
        <item h="1" x="1"/>
        <item x="2"/>
        <item t="default"/>
      </items>
    </pivotField>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5"/>
  </rowFields>
  <rowItems count="1">
    <i t="grand">
      <x/>
    </i>
  </rowItems>
  <colItems count="1">
    <i/>
  </colItems>
  <dataFields count="1">
    <dataField name="Sum of Sales" fld="7" baseField="0" baseItem="0"/>
  </dataFields>
  <pivotTableStyleInfo name="PivotStyleLight16" showRowHeaders="1" showColHeaders="1" showRowStripes="0" showColStripes="0" showLastColumn="1"/>
  <filters count="1">
    <filter fld="1" type="dateBetween" evalOrder="-1" id="35" name="Order Date">
      <autoFilter ref="A1">
        <filterColumn colId="0">
          <customFilters and="1">
            <customFilter operator="greaterThanOrEqual" val="43252"/>
            <customFilter operator="lessThanOrEqual" val="432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7EA7C72-3997-4FB0-A6FF-C2892834EE59}" name="PivotTable11"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D4" firstHeaderRow="0" firstDataRow="1" firstDataCol="1"/>
  <pivotFields count="12">
    <pivotField showAll="0"/>
    <pivotField numFmtId="14" showAll="0">
      <items count="17">
        <item x="0"/>
        <item x="1"/>
        <item x="2"/>
        <item x="3"/>
        <item x="4"/>
        <item x="5"/>
        <item x="6"/>
        <item x="7"/>
        <item x="8"/>
        <item x="9"/>
        <item x="10"/>
        <item x="11"/>
        <item x="12"/>
        <item x="13"/>
        <item x="14"/>
        <item x="15"/>
        <item t="default"/>
      </items>
    </pivotField>
    <pivotField dataField="1" showAll="0">
      <items count="22">
        <item x="3"/>
        <item x="6"/>
        <item x="18"/>
        <item x="12"/>
        <item x="19"/>
        <item x="10"/>
        <item x="15"/>
        <item x="4"/>
        <item x="5"/>
        <item x="16"/>
        <item x="14"/>
        <item x="1"/>
        <item x="0"/>
        <item x="20"/>
        <item x="17"/>
        <item x="8"/>
        <item x="13"/>
        <item x="2"/>
        <item x="11"/>
        <item x="7"/>
        <item x="9"/>
        <item t="default"/>
      </items>
    </pivotField>
    <pivotField axis="axisRow" showAll="0">
      <items count="8">
        <item x="4"/>
        <item x="0"/>
        <item x="6"/>
        <item x="2"/>
        <item x="5"/>
        <item x="1"/>
        <item x="3"/>
        <item t="default"/>
      </items>
    </pivotField>
    <pivotField showAll="0">
      <items count="11">
        <item x="6"/>
        <item x="9"/>
        <item x="2"/>
        <item x="7"/>
        <item x="1"/>
        <item x="5"/>
        <item x="8"/>
        <item x="4"/>
        <item x="3"/>
        <item x="0"/>
        <item t="default"/>
      </items>
    </pivotField>
    <pivotField showAll="0">
      <items count="12">
        <item x="8"/>
        <item x="2"/>
        <item x="4"/>
        <item x="3"/>
        <item x="1"/>
        <item x="9"/>
        <item x="5"/>
        <item x="6"/>
        <item x="10"/>
        <item x="0"/>
        <item x="7"/>
        <item t="default"/>
      </items>
    </pivotField>
    <pivotField showAll="0"/>
    <pivotField dataField="1"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3"/>
  </rowFields>
  <rowItems count="1">
    <i t="grand">
      <x/>
    </i>
  </rowItems>
  <colFields count="1">
    <field x="-2"/>
  </colFields>
  <colItems count="3">
    <i>
      <x/>
    </i>
    <i i="1">
      <x v="1"/>
    </i>
    <i i="2">
      <x v="2"/>
    </i>
  </colItems>
  <dataFields count="3">
    <dataField name="total sales" fld="7" baseField="0" baseItem="0"/>
    <dataField name="no. of customer" fld="2" subtotal="count" baseField="0" baseItem="0"/>
    <dataField name="total profit" fld="8"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1" type="dateBetween" evalOrder="-1" id="92" name="Order Date">
      <autoFilter ref="A1">
        <filterColumn colId="0">
          <customFilters and="1">
            <customFilter operator="greaterThanOrEqual" val="43252"/>
            <customFilter operator="lessThanOrEqual" val="432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B39EBA-BD39-46F1-BC51-47C490F3C240}" name="PivotTable16" cacheId="2" applyNumberFormats="0" applyBorderFormats="0" applyFontFormats="0" applyPatternFormats="0" applyAlignmentFormats="0" applyWidthHeightFormats="1" dataCaption="Values" updatedVersion="8" minRefreshableVersion="3" useAutoFormatting="1" pageOverThenDown="1" itemPrintTitles="1" mergeItem="1" createdVersion="8" indent="0" outline="1" outlineData="1" multipleFieldFilters="0">
  <location ref="A5:B22" firstHeaderRow="1" firstDataRow="1" firstDataCol="1" rowPageCount="1" colPageCount="3"/>
  <pivotFields count="12">
    <pivotField showAll="0"/>
    <pivotField numFmtId="14" showAll="0">
      <items count="3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t="default"/>
      </items>
    </pivotField>
    <pivotField showAll="0"/>
    <pivotField axis="axisPage" showAll="0">
      <items count="8">
        <item x="4"/>
        <item x="0"/>
        <item x="6"/>
        <item x="2"/>
        <item x="5"/>
        <item x="1"/>
        <item x="3"/>
        <item t="default"/>
      </items>
    </pivotField>
    <pivotField axis="axisPage" showAll="0">
      <items count="11">
        <item x="6"/>
        <item x="9"/>
        <item x="2"/>
        <item x="7"/>
        <item x="1"/>
        <item x="5"/>
        <item x="8"/>
        <item x="4"/>
        <item x="3"/>
        <item x="0"/>
        <item t="default"/>
      </items>
    </pivotField>
    <pivotField showAll="0"/>
    <pivotField axis="axisPage" showAll="0">
      <items count="4">
        <item x="0"/>
        <item x="1"/>
        <item x="2"/>
        <item t="default"/>
      </items>
    </pivotField>
    <pivotField dataField="1" showAll="0"/>
    <pivotField showAll="0"/>
    <pivotField showAll="0" defaultSubtotal="0">
      <items count="3">
        <item x="0"/>
        <item x="1"/>
        <item x="2"/>
      </items>
    </pivotField>
    <pivotField axis="axisRow" showAll="0">
      <items count="15">
        <item x="0"/>
        <item x="1"/>
        <item x="2"/>
        <item x="3"/>
        <item x="4"/>
        <item x="5"/>
        <item x="6"/>
        <item x="7"/>
        <item x="8"/>
        <item x="9"/>
        <item x="10"/>
        <item x="11"/>
        <item x="12"/>
        <item x="13"/>
        <item t="default"/>
      </items>
    </pivotField>
    <pivotField axis="axisRow" showAll="0">
      <items count="7">
        <item x="0"/>
        <item x="1"/>
        <item x="2"/>
        <item x="3"/>
        <item x="4"/>
        <item x="5"/>
        <item t="default"/>
      </items>
    </pivotField>
  </pivotFields>
  <rowFields count="2">
    <field x="11"/>
    <field x="10"/>
  </rowFields>
  <rowItems count="17">
    <i>
      <x v="1"/>
    </i>
    <i r="1">
      <x v="1"/>
    </i>
    <i r="1">
      <x v="2"/>
    </i>
    <i r="1">
      <x v="3"/>
    </i>
    <i>
      <x v="2"/>
    </i>
    <i r="1">
      <x v="4"/>
    </i>
    <i r="1">
      <x v="5"/>
    </i>
    <i r="1">
      <x v="6"/>
    </i>
    <i>
      <x v="3"/>
    </i>
    <i r="1">
      <x v="7"/>
    </i>
    <i r="1">
      <x v="8"/>
    </i>
    <i r="1">
      <x v="9"/>
    </i>
    <i>
      <x v="4"/>
    </i>
    <i r="1">
      <x v="10"/>
    </i>
    <i r="1">
      <x v="11"/>
    </i>
    <i r="1">
      <x v="12"/>
    </i>
    <i t="grand">
      <x/>
    </i>
  </rowItems>
  <colItems count="1">
    <i/>
  </colItems>
  <pageFields count="3">
    <pageField fld="4" hier="-1"/>
    <pageField fld="6" hier="-1"/>
    <pageField fld="3" hier="-1"/>
  </pageFields>
  <dataFields count="1">
    <dataField name="Sum of Sale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890AEFC-32E6-46A1-AC77-D41AA69D10D1}"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9:L391" firstHeaderRow="1" firstDataRow="1" firstDataCol="1"/>
  <pivotFields count="12">
    <pivotField showAll="0"/>
    <pivotField axis="axisRow" numFmtId="14" showAll="0">
      <items count="3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t="default"/>
      </items>
    </pivotField>
    <pivotField showAll="0"/>
    <pivotField showAll="0">
      <items count="8">
        <item x="4"/>
        <item x="0"/>
        <item x="6"/>
        <item x="2"/>
        <item x="5"/>
        <item x="1"/>
        <item x="3"/>
        <item t="default"/>
      </items>
    </pivotField>
    <pivotField showAll="0"/>
    <pivotField showAll="0"/>
    <pivotField showAll="0"/>
    <pivotField dataField="1" showAll="0"/>
    <pivotField showAll="0"/>
    <pivotField showAll="0">
      <items count="4">
        <item x="1"/>
        <item x="2"/>
        <item x="0"/>
        <item t="default"/>
      </items>
    </pivotField>
    <pivotField axis="axisRow" showAll="0">
      <items count="15">
        <item x="0"/>
        <item x="1"/>
        <item x="2"/>
        <item x="3"/>
        <item x="4"/>
        <item x="5"/>
        <item x="6"/>
        <item x="7"/>
        <item x="8"/>
        <item x="9"/>
        <item x="10"/>
        <item x="11"/>
        <item x="12"/>
        <item x="13"/>
        <item t="default"/>
      </items>
    </pivotField>
    <pivotField axis="axisRow" showAll="0">
      <items count="7">
        <item x="0"/>
        <item x="1"/>
        <item x="2"/>
        <item x="3"/>
        <item x="4"/>
        <item x="5"/>
        <item t="default"/>
      </items>
    </pivotField>
  </pivotFields>
  <rowFields count="3">
    <field x="11"/>
    <field x="10"/>
    <field x="1"/>
  </rowFields>
  <rowItems count="382">
    <i>
      <x v="1"/>
    </i>
    <i r="1">
      <x v="1"/>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1">
      <x v="2"/>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1">
      <x v="3"/>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x v="2"/>
    </i>
    <i r="1">
      <x v="4"/>
    </i>
    <i r="2">
      <x v="90"/>
    </i>
    <i r="2">
      <x v="91"/>
    </i>
    <i r="2">
      <x v="92"/>
    </i>
    <i r="2">
      <x v="93"/>
    </i>
    <i r="2">
      <x v="94"/>
    </i>
    <i r="2">
      <x v="95"/>
    </i>
    <i r="2">
      <x v="96"/>
    </i>
    <i r="2">
      <x v="97"/>
    </i>
    <i r="2">
      <x v="98"/>
    </i>
    <i r="2">
      <x v="99"/>
    </i>
    <i r="2">
      <x v="100"/>
    </i>
    <i r="2">
      <x v="101"/>
    </i>
    <i r="2">
      <x v="102"/>
    </i>
    <i r="2">
      <x v="103"/>
    </i>
    <i r="2">
      <x v="104"/>
    </i>
    <i r="2">
      <x v="105"/>
    </i>
    <i r="2">
      <x v="106"/>
    </i>
    <i r="2">
      <x v="107"/>
    </i>
    <i r="2">
      <x v="108"/>
    </i>
    <i r="2">
      <x v="109"/>
    </i>
    <i r="2">
      <x v="110"/>
    </i>
    <i r="2">
      <x v="111"/>
    </i>
    <i r="2">
      <x v="112"/>
    </i>
    <i r="2">
      <x v="113"/>
    </i>
    <i r="2">
      <x v="114"/>
    </i>
    <i r="2">
      <x v="115"/>
    </i>
    <i r="2">
      <x v="116"/>
    </i>
    <i r="2">
      <x v="117"/>
    </i>
    <i r="2">
      <x v="118"/>
    </i>
    <i r="2">
      <x v="119"/>
    </i>
    <i r="1">
      <x v="5"/>
    </i>
    <i r="2">
      <x v="120"/>
    </i>
    <i r="2">
      <x v="121"/>
    </i>
    <i r="2">
      <x v="122"/>
    </i>
    <i r="2">
      <x v="123"/>
    </i>
    <i r="2">
      <x v="124"/>
    </i>
    <i r="2">
      <x v="125"/>
    </i>
    <i r="2">
      <x v="126"/>
    </i>
    <i r="2">
      <x v="127"/>
    </i>
    <i r="2">
      <x v="128"/>
    </i>
    <i r="2">
      <x v="129"/>
    </i>
    <i r="2">
      <x v="130"/>
    </i>
    <i r="2">
      <x v="131"/>
    </i>
    <i r="2">
      <x v="132"/>
    </i>
    <i r="2">
      <x v="133"/>
    </i>
    <i r="2">
      <x v="134"/>
    </i>
    <i r="2">
      <x v="135"/>
    </i>
    <i r="2">
      <x v="136"/>
    </i>
    <i r="2">
      <x v="137"/>
    </i>
    <i r="2">
      <x v="138"/>
    </i>
    <i r="2">
      <x v="139"/>
    </i>
    <i r="2">
      <x v="140"/>
    </i>
    <i r="2">
      <x v="141"/>
    </i>
    <i r="2">
      <x v="142"/>
    </i>
    <i r="2">
      <x v="143"/>
    </i>
    <i r="2">
      <x v="144"/>
    </i>
    <i r="2">
      <x v="145"/>
    </i>
    <i r="2">
      <x v="146"/>
    </i>
    <i r="2">
      <x v="147"/>
    </i>
    <i r="2">
      <x v="148"/>
    </i>
    <i r="2">
      <x v="149"/>
    </i>
    <i r="2">
      <x v="150"/>
    </i>
    <i r="1">
      <x v="6"/>
    </i>
    <i r="2">
      <x v="151"/>
    </i>
    <i r="2">
      <x v="152"/>
    </i>
    <i r="2">
      <x v="153"/>
    </i>
    <i r="2">
      <x v="154"/>
    </i>
    <i r="2">
      <x v="155"/>
    </i>
    <i r="2">
      <x v="156"/>
    </i>
    <i r="2">
      <x v="157"/>
    </i>
    <i r="2">
      <x v="158"/>
    </i>
    <i r="2">
      <x v="159"/>
    </i>
    <i r="2">
      <x v="160"/>
    </i>
    <i r="2">
      <x v="161"/>
    </i>
    <i r="2">
      <x v="162"/>
    </i>
    <i r="2">
      <x v="163"/>
    </i>
    <i r="2">
      <x v="164"/>
    </i>
    <i r="2">
      <x v="165"/>
    </i>
    <i r="2">
      <x v="166"/>
    </i>
    <i r="2">
      <x v="167"/>
    </i>
    <i r="2">
      <x v="168"/>
    </i>
    <i r="2">
      <x v="169"/>
    </i>
    <i r="2">
      <x v="170"/>
    </i>
    <i r="2">
      <x v="171"/>
    </i>
    <i r="2">
      <x v="172"/>
    </i>
    <i r="2">
      <x v="173"/>
    </i>
    <i r="2">
      <x v="174"/>
    </i>
    <i r="2">
      <x v="175"/>
    </i>
    <i r="2">
      <x v="176"/>
    </i>
    <i r="2">
      <x v="177"/>
    </i>
    <i r="2">
      <x v="178"/>
    </i>
    <i r="2">
      <x v="179"/>
    </i>
    <i r="2">
      <x v="180"/>
    </i>
    <i>
      <x v="3"/>
    </i>
    <i r="1">
      <x v="7"/>
    </i>
    <i r="2">
      <x v="181"/>
    </i>
    <i r="2">
      <x v="182"/>
    </i>
    <i r="2">
      <x v="183"/>
    </i>
    <i r="2">
      <x v="184"/>
    </i>
    <i r="2">
      <x v="185"/>
    </i>
    <i r="2">
      <x v="186"/>
    </i>
    <i r="2">
      <x v="187"/>
    </i>
    <i r="2">
      <x v="188"/>
    </i>
    <i r="2">
      <x v="189"/>
    </i>
    <i r="2">
      <x v="190"/>
    </i>
    <i r="2">
      <x v="191"/>
    </i>
    <i r="2">
      <x v="192"/>
    </i>
    <i r="2">
      <x v="193"/>
    </i>
    <i r="2">
      <x v="194"/>
    </i>
    <i r="2">
      <x v="195"/>
    </i>
    <i r="2">
      <x v="196"/>
    </i>
    <i r="2">
      <x v="197"/>
    </i>
    <i r="2">
      <x v="198"/>
    </i>
    <i r="2">
      <x v="199"/>
    </i>
    <i r="2">
      <x v="200"/>
    </i>
    <i r="2">
      <x v="201"/>
    </i>
    <i r="2">
      <x v="202"/>
    </i>
    <i r="2">
      <x v="203"/>
    </i>
    <i r="2">
      <x v="204"/>
    </i>
    <i r="2">
      <x v="205"/>
    </i>
    <i r="2">
      <x v="206"/>
    </i>
    <i r="2">
      <x v="207"/>
    </i>
    <i r="2">
      <x v="208"/>
    </i>
    <i r="2">
      <x v="209"/>
    </i>
    <i r="2">
      <x v="210"/>
    </i>
    <i r="2">
      <x v="211"/>
    </i>
    <i r="1">
      <x v="8"/>
    </i>
    <i r="2">
      <x v="212"/>
    </i>
    <i r="2">
      <x v="213"/>
    </i>
    <i r="2">
      <x v="214"/>
    </i>
    <i r="2">
      <x v="215"/>
    </i>
    <i r="2">
      <x v="216"/>
    </i>
    <i r="2">
      <x v="217"/>
    </i>
    <i r="2">
      <x v="218"/>
    </i>
    <i r="2">
      <x v="219"/>
    </i>
    <i r="2">
      <x v="220"/>
    </i>
    <i r="2">
      <x v="221"/>
    </i>
    <i r="2">
      <x v="222"/>
    </i>
    <i r="2">
      <x v="223"/>
    </i>
    <i r="2">
      <x v="224"/>
    </i>
    <i r="2">
      <x v="225"/>
    </i>
    <i r="2">
      <x v="226"/>
    </i>
    <i r="2">
      <x v="227"/>
    </i>
    <i r="2">
      <x v="228"/>
    </i>
    <i r="2">
      <x v="229"/>
    </i>
    <i r="2">
      <x v="230"/>
    </i>
    <i r="2">
      <x v="231"/>
    </i>
    <i r="2">
      <x v="232"/>
    </i>
    <i r="2">
      <x v="233"/>
    </i>
    <i r="2">
      <x v="234"/>
    </i>
    <i r="2">
      <x v="235"/>
    </i>
    <i r="2">
      <x v="236"/>
    </i>
    <i r="2">
      <x v="237"/>
    </i>
    <i r="2">
      <x v="238"/>
    </i>
    <i r="2">
      <x v="239"/>
    </i>
    <i r="2">
      <x v="240"/>
    </i>
    <i r="2">
      <x v="241"/>
    </i>
    <i r="2">
      <x v="242"/>
    </i>
    <i r="1">
      <x v="9"/>
    </i>
    <i r="2">
      <x v="243"/>
    </i>
    <i r="2">
      <x v="244"/>
    </i>
    <i r="2">
      <x v="245"/>
    </i>
    <i r="2">
      <x v="246"/>
    </i>
    <i r="2">
      <x v="247"/>
    </i>
    <i r="2">
      <x v="248"/>
    </i>
    <i r="2">
      <x v="249"/>
    </i>
    <i r="2">
      <x v="250"/>
    </i>
    <i r="2">
      <x v="251"/>
    </i>
    <i r="2">
      <x v="252"/>
    </i>
    <i r="2">
      <x v="253"/>
    </i>
    <i r="2">
      <x v="254"/>
    </i>
    <i r="2">
      <x v="255"/>
    </i>
    <i r="2">
      <x v="256"/>
    </i>
    <i r="2">
      <x v="257"/>
    </i>
    <i r="2">
      <x v="258"/>
    </i>
    <i r="2">
      <x v="259"/>
    </i>
    <i r="2">
      <x v="260"/>
    </i>
    <i r="2">
      <x v="261"/>
    </i>
    <i r="2">
      <x v="262"/>
    </i>
    <i r="2">
      <x v="263"/>
    </i>
    <i r="2">
      <x v="264"/>
    </i>
    <i r="2">
      <x v="265"/>
    </i>
    <i r="2">
      <x v="266"/>
    </i>
    <i r="2">
      <x v="267"/>
    </i>
    <i r="2">
      <x v="268"/>
    </i>
    <i r="2">
      <x v="269"/>
    </i>
    <i r="2">
      <x v="270"/>
    </i>
    <i r="2">
      <x v="271"/>
    </i>
    <i r="2">
      <x v="272"/>
    </i>
    <i>
      <x v="4"/>
    </i>
    <i r="1">
      <x v="10"/>
    </i>
    <i r="2">
      <x v="273"/>
    </i>
    <i r="2">
      <x v="274"/>
    </i>
    <i r="2">
      <x v="275"/>
    </i>
    <i r="2">
      <x v="276"/>
    </i>
    <i r="2">
      <x v="277"/>
    </i>
    <i r="2">
      <x v="278"/>
    </i>
    <i r="2">
      <x v="279"/>
    </i>
    <i r="2">
      <x v="280"/>
    </i>
    <i r="2">
      <x v="281"/>
    </i>
    <i r="2">
      <x v="282"/>
    </i>
    <i r="2">
      <x v="283"/>
    </i>
    <i r="2">
      <x v="284"/>
    </i>
    <i r="2">
      <x v="285"/>
    </i>
    <i r="2">
      <x v="286"/>
    </i>
    <i r="2">
      <x v="287"/>
    </i>
    <i r="2">
      <x v="288"/>
    </i>
    <i r="2">
      <x v="289"/>
    </i>
    <i r="2">
      <x v="290"/>
    </i>
    <i r="2">
      <x v="291"/>
    </i>
    <i r="2">
      <x v="292"/>
    </i>
    <i r="2">
      <x v="293"/>
    </i>
    <i r="2">
      <x v="294"/>
    </i>
    <i r="2">
      <x v="295"/>
    </i>
    <i r="2">
      <x v="296"/>
    </i>
    <i r="2">
      <x v="297"/>
    </i>
    <i r="2">
      <x v="298"/>
    </i>
    <i r="2">
      <x v="299"/>
    </i>
    <i r="2">
      <x v="300"/>
    </i>
    <i r="2">
      <x v="301"/>
    </i>
    <i r="2">
      <x v="302"/>
    </i>
    <i r="2">
      <x v="303"/>
    </i>
    <i r="1">
      <x v="11"/>
    </i>
    <i r="2">
      <x v="304"/>
    </i>
    <i r="2">
      <x v="305"/>
    </i>
    <i r="2">
      <x v="306"/>
    </i>
    <i r="2">
      <x v="307"/>
    </i>
    <i r="2">
      <x v="308"/>
    </i>
    <i r="2">
      <x v="309"/>
    </i>
    <i r="2">
      <x v="310"/>
    </i>
    <i r="2">
      <x v="311"/>
    </i>
    <i r="2">
      <x v="312"/>
    </i>
    <i r="2">
      <x v="313"/>
    </i>
    <i r="2">
      <x v="314"/>
    </i>
    <i r="2">
      <x v="315"/>
    </i>
    <i r="2">
      <x v="316"/>
    </i>
    <i r="2">
      <x v="317"/>
    </i>
    <i r="2">
      <x v="318"/>
    </i>
    <i r="2">
      <x v="319"/>
    </i>
    <i r="2">
      <x v="320"/>
    </i>
    <i r="2">
      <x v="321"/>
    </i>
    <i r="2">
      <x v="322"/>
    </i>
    <i r="2">
      <x v="323"/>
    </i>
    <i r="2">
      <x v="324"/>
    </i>
    <i r="2">
      <x v="325"/>
    </i>
    <i r="2">
      <x v="326"/>
    </i>
    <i r="2">
      <x v="327"/>
    </i>
    <i r="2">
      <x v="328"/>
    </i>
    <i r="2">
      <x v="329"/>
    </i>
    <i r="2">
      <x v="330"/>
    </i>
    <i r="2">
      <x v="331"/>
    </i>
    <i r="2">
      <x v="332"/>
    </i>
    <i r="2">
      <x v="333"/>
    </i>
    <i r="1">
      <x v="12"/>
    </i>
    <i r="2">
      <x v="334"/>
    </i>
    <i r="2">
      <x v="335"/>
    </i>
    <i r="2">
      <x v="336"/>
    </i>
    <i r="2">
      <x v="337"/>
    </i>
    <i r="2">
      <x v="338"/>
    </i>
    <i r="2">
      <x v="339"/>
    </i>
    <i r="2">
      <x v="340"/>
    </i>
    <i r="2">
      <x v="341"/>
    </i>
    <i r="2">
      <x v="342"/>
    </i>
    <i r="2">
      <x v="343"/>
    </i>
    <i r="2">
      <x v="344"/>
    </i>
    <i r="2">
      <x v="345"/>
    </i>
    <i r="2">
      <x v="346"/>
    </i>
    <i r="2">
      <x v="347"/>
    </i>
    <i r="2">
      <x v="348"/>
    </i>
    <i r="2">
      <x v="349"/>
    </i>
    <i r="2">
      <x v="350"/>
    </i>
    <i r="2">
      <x v="351"/>
    </i>
    <i r="2">
      <x v="352"/>
    </i>
    <i r="2">
      <x v="353"/>
    </i>
    <i r="2">
      <x v="354"/>
    </i>
    <i r="2">
      <x v="355"/>
    </i>
    <i r="2">
      <x v="356"/>
    </i>
    <i r="2">
      <x v="357"/>
    </i>
    <i r="2">
      <x v="358"/>
    </i>
    <i r="2">
      <x v="359"/>
    </i>
    <i r="2">
      <x v="360"/>
    </i>
    <i r="2">
      <x v="361"/>
    </i>
    <i r="2">
      <x v="362"/>
    </i>
    <i r="2">
      <x v="363"/>
    </i>
    <i r="2">
      <x v="364"/>
    </i>
    <i t="grand">
      <x/>
    </i>
  </rowItems>
  <colItems count="1">
    <i/>
  </colItems>
  <dataFields count="1">
    <dataField name="Sum of Sale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FAAF0B4-3965-4D74-BFDD-0AE853625C84}" name="PivotTable14" cacheId="2"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Y5:AB388" firstHeaderRow="2" firstDataRow="2" firstDataCol="3"/>
  <pivotFields count="12">
    <pivotField compact="0" outline="0" showAll="0">
      <items count="3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t="default"/>
      </items>
    </pivotField>
    <pivotField axis="axisRow" compact="0" numFmtId="14" outline="0" showAll="0">
      <items count="3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t="default"/>
      </items>
    </pivotField>
    <pivotField compact="0" outline="0" showAll="0">
      <items count="22">
        <item x="3"/>
        <item x="6"/>
        <item x="18"/>
        <item x="12"/>
        <item x="19"/>
        <item x="10"/>
        <item x="15"/>
        <item x="4"/>
        <item x="5"/>
        <item x="16"/>
        <item x="14"/>
        <item x="1"/>
        <item x="0"/>
        <item x="20"/>
        <item x="17"/>
        <item x="8"/>
        <item x="13"/>
        <item x="2"/>
        <item x="11"/>
        <item x="7"/>
        <item x="9"/>
        <item t="default"/>
      </items>
    </pivotField>
    <pivotField compact="0" outline="0" showAll="0">
      <items count="8">
        <item x="4"/>
        <item x="0"/>
        <item x="6"/>
        <item x="2"/>
        <item x="5"/>
        <item x="1"/>
        <item x="3"/>
        <item t="default"/>
      </items>
    </pivotField>
    <pivotField compact="0" outline="0" showAll="0"/>
    <pivotField compact="0" outline="0" showAll="0"/>
    <pivotField compact="0" outline="0" showAll="0"/>
    <pivotField dataField="1" compact="0" outline="0" showAll="0"/>
    <pivotField compact="0" outline="0" showAll="0"/>
    <pivotField compact="0" outline="0" showAll="0" defaultSubtotal="0">
      <items count="3">
        <item x="0"/>
        <item x="1"/>
        <item x="2"/>
      </items>
    </pivotField>
    <pivotField axis="axisRow" compact="0" outline="0" showAll="0">
      <items count="15">
        <item x="0"/>
        <item x="1"/>
        <item x="2"/>
        <item x="3"/>
        <item x="4"/>
        <item x="5"/>
        <item x="6"/>
        <item x="7"/>
        <item x="8"/>
        <item x="9"/>
        <item x="10"/>
        <item x="11"/>
        <item x="12"/>
        <item x="13"/>
        <item t="default"/>
      </items>
    </pivotField>
    <pivotField axis="axisRow" compact="0" outline="0" showAll="0">
      <items count="7">
        <item x="0"/>
        <item x="1"/>
        <item x="2"/>
        <item x="3"/>
        <item x="4"/>
        <item x="5"/>
        <item t="default"/>
      </items>
    </pivotField>
  </pivotFields>
  <rowFields count="3">
    <field x="11"/>
    <field x="10"/>
    <field x="1"/>
  </rowFields>
  <rowItems count="382">
    <i>
      <x v="1"/>
      <x v="1"/>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t="default" r="1">
      <x v="1"/>
    </i>
    <i r="1">
      <x v="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t="default" r="1">
      <x v="2"/>
    </i>
    <i r="1">
      <x v="3"/>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t="default" r="1">
      <x v="3"/>
    </i>
    <i t="default">
      <x v="1"/>
    </i>
    <i>
      <x v="2"/>
      <x v="4"/>
      <x v="90"/>
    </i>
    <i r="2">
      <x v="91"/>
    </i>
    <i r="2">
      <x v="92"/>
    </i>
    <i r="2">
      <x v="93"/>
    </i>
    <i r="2">
      <x v="94"/>
    </i>
    <i r="2">
      <x v="95"/>
    </i>
    <i r="2">
      <x v="96"/>
    </i>
    <i r="2">
      <x v="97"/>
    </i>
    <i r="2">
      <x v="98"/>
    </i>
    <i r="2">
      <x v="99"/>
    </i>
    <i r="2">
      <x v="100"/>
    </i>
    <i r="2">
      <x v="101"/>
    </i>
    <i r="2">
      <x v="102"/>
    </i>
    <i r="2">
      <x v="103"/>
    </i>
    <i r="2">
      <x v="104"/>
    </i>
    <i r="2">
      <x v="105"/>
    </i>
    <i r="2">
      <x v="106"/>
    </i>
    <i r="2">
      <x v="107"/>
    </i>
    <i r="2">
      <x v="108"/>
    </i>
    <i r="2">
      <x v="109"/>
    </i>
    <i r="2">
      <x v="110"/>
    </i>
    <i r="2">
      <x v="111"/>
    </i>
    <i r="2">
      <x v="112"/>
    </i>
    <i r="2">
      <x v="113"/>
    </i>
    <i r="2">
      <x v="114"/>
    </i>
    <i r="2">
      <x v="115"/>
    </i>
    <i r="2">
      <x v="116"/>
    </i>
    <i r="2">
      <x v="117"/>
    </i>
    <i r="2">
      <x v="118"/>
    </i>
    <i r="2">
      <x v="119"/>
    </i>
    <i t="default" r="1">
      <x v="4"/>
    </i>
    <i r="1">
      <x v="5"/>
      <x v="120"/>
    </i>
    <i r="2">
      <x v="121"/>
    </i>
    <i r="2">
      <x v="122"/>
    </i>
    <i r="2">
      <x v="123"/>
    </i>
    <i r="2">
      <x v="124"/>
    </i>
    <i r="2">
      <x v="125"/>
    </i>
    <i r="2">
      <x v="126"/>
    </i>
    <i r="2">
      <x v="127"/>
    </i>
    <i r="2">
      <x v="128"/>
    </i>
    <i r="2">
      <x v="129"/>
    </i>
    <i r="2">
      <x v="130"/>
    </i>
    <i r="2">
      <x v="131"/>
    </i>
    <i r="2">
      <x v="132"/>
    </i>
    <i r="2">
      <x v="133"/>
    </i>
    <i r="2">
      <x v="134"/>
    </i>
    <i r="2">
      <x v="135"/>
    </i>
    <i r="2">
      <x v="136"/>
    </i>
    <i r="2">
      <x v="137"/>
    </i>
    <i r="2">
      <x v="138"/>
    </i>
    <i r="2">
      <x v="139"/>
    </i>
    <i r="2">
      <x v="140"/>
    </i>
    <i r="2">
      <x v="141"/>
    </i>
    <i r="2">
      <x v="142"/>
    </i>
    <i r="2">
      <x v="143"/>
    </i>
    <i r="2">
      <x v="144"/>
    </i>
    <i r="2">
      <x v="145"/>
    </i>
    <i r="2">
      <x v="146"/>
    </i>
    <i r="2">
      <x v="147"/>
    </i>
    <i r="2">
      <x v="148"/>
    </i>
    <i r="2">
      <x v="149"/>
    </i>
    <i r="2">
      <x v="150"/>
    </i>
    <i t="default" r="1">
      <x v="5"/>
    </i>
    <i r="1">
      <x v="6"/>
      <x v="151"/>
    </i>
    <i r="2">
      <x v="152"/>
    </i>
    <i r="2">
      <x v="153"/>
    </i>
    <i r="2">
      <x v="154"/>
    </i>
    <i r="2">
      <x v="155"/>
    </i>
    <i r="2">
      <x v="156"/>
    </i>
    <i r="2">
      <x v="157"/>
    </i>
    <i r="2">
      <x v="158"/>
    </i>
    <i r="2">
      <x v="159"/>
    </i>
    <i r="2">
      <x v="160"/>
    </i>
    <i r="2">
      <x v="161"/>
    </i>
    <i r="2">
      <x v="162"/>
    </i>
    <i r="2">
      <x v="163"/>
    </i>
    <i r="2">
      <x v="164"/>
    </i>
    <i r="2">
      <x v="165"/>
    </i>
    <i r="2">
      <x v="166"/>
    </i>
    <i r="2">
      <x v="167"/>
    </i>
    <i r="2">
      <x v="168"/>
    </i>
    <i r="2">
      <x v="169"/>
    </i>
    <i r="2">
      <x v="170"/>
    </i>
    <i r="2">
      <x v="171"/>
    </i>
    <i r="2">
      <x v="172"/>
    </i>
    <i r="2">
      <x v="173"/>
    </i>
    <i r="2">
      <x v="174"/>
    </i>
    <i r="2">
      <x v="175"/>
    </i>
    <i r="2">
      <x v="176"/>
    </i>
    <i r="2">
      <x v="177"/>
    </i>
    <i r="2">
      <x v="178"/>
    </i>
    <i r="2">
      <x v="179"/>
    </i>
    <i r="2">
      <x v="180"/>
    </i>
    <i t="default" r="1">
      <x v="6"/>
    </i>
    <i t="default">
      <x v="2"/>
    </i>
    <i>
      <x v="3"/>
      <x v="7"/>
      <x v="181"/>
    </i>
    <i r="2">
      <x v="182"/>
    </i>
    <i r="2">
      <x v="183"/>
    </i>
    <i r="2">
      <x v="184"/>
    </i>
    <i r="2">
      <x v="185"/>
    </i>
    <i r="2">
      <x v="186"/>
    </i>
    <i r="2">
      <x v="187"/>
    </i>
    <i r="2">
      <x v="188"/>
    </i>
    <i r="2">
      <x v="189"/>
    </i>
    <i r="2">
      <x v="190"/>
    </i>
    <i r="2">
      <x v="191"/>
    </i>
    <i r="2">
      <x v="192"/>
    </i>
    <i r="2">
      <x v="193"/>
    </i>
    <i r="2">
      <x v="194"/>
    </i>
    <i r="2">
      <x v="195"/>
    </i>
    <i r="2">
      <x v="196"/>
    </i>
    <i r="2">
      <x v="197"/>
    </i>
    <i r="2">
      <x v="198"/>
    </i>
    <i r="2">
      <x v="199"/>
    </i>
    <i r="2">
      <x v="200"/>
    </i>
    <i r="2">
      <x v="201"/>
    </i>
    <i r="2">
      <x v="202"/>
    </i>
    <i r="2">
      <x v="203"/>
    </i>
    <i r="2">
      <x v="204"/>
    </i>
    <i r="2">
      <x v="205"/>
    </i>
    <i r="2">
      <x v="206"/>
    </i>
    <i r="2">
      <x v="207"/>
    </i>
    <i r="2">
      <x v="208"/>
    </i>
    <i r="2">
      <x v="209"/>
    </i>
    <i r="2">
      <x v="210"/>
    </i>
    <i r="2">
      <x v="211"/>
    </i>
    <i t="default" r="1">
      <x v="7"/>
    </i>
    <i r="1">
      <x v="8"/>
      <x v="212"/>
    </i>
    <i r="2">
      <x v="213"/>
    </i>
    <i r="2">
      <x v="214"/>
    </i>
    <i r="2">
      <x v="215"/>
    </i>
    <i r="2">
      <x v="216"/>
    </i>
    <i r="2">
      <x v="217"/>
    </i>
    <i r="2">
      <x v="218"/>
    </i>
    <i r="2">
      <x v="219"/>
    </i>
    <i r="2">
      <x v="220"/>
    </i>
    <i r="2">
      <x v="221"/>
    </i>
    <i r="2">
      <x v="222"/>
    </i>
    <i r="2">
      <x v="223"/>
    </i>
    <i r="2">
      <x v="224"/>
    </i>
    <i r="2">
      <x v="225"/>
    </i>
    <i r="2">
      <x v="226"/>
    </i>
    <i r="2">
      <x v="227"/>
    </i>
    <i r="2">
      <x v="228"/>
    </i>
    <i r="2">
      <x v="229"/>
    </i>
    <i r="2">
      <x v="230"/>
    </i>
    <i r="2">
      <x v="231"/>
    </i>
    <i r="2">
      <x v="232"/>
    </i>
    <i r="2">
      <x v="233"/>
    </i>
    <i r="2">
      <x v="234"/>
    </i>
    <i r="2">
      <x v="235"/>
    </i>
    <i r="2">
      <x v="236"/>
    </i>
    <i r="2">
      <x v="237"/>
    </i>
    <i r="2">
      <x v="238"/>
    </i>
    <i r="2">
      <x v="239"/>
    </i>
    <i r="2">
      <x v="240"/>
    </i>
    <i r="2">
      <x v="241"/>
    </i>
    <i r="2">
      <x v="242"/>
    </i>
    <i t="default" r="1">
      <x v="8"/>
    </i>
    <i r="1">
      <x v="9"/>
      <x v="243"/>
    </i>
    <i r="2">
      <x v="244"/>
    </i>
    <i r="2">
      <x v="245"/>
    </i>
    <i r="2">
      <x v="246"/>
    </i>
    <i r="2">
      <x v="247"/>
    </i>
    <i r="2">
      <x v="248"/>
    </i>
    <i r="2">
      <x v="249"/>
    </i>
    <i r="2">
      <x v="250"/>
    </i>
    <i r="2">
      <x v="251"/>
    </i>
    <i r="2">
      <x v="252"/>
    </i>
    <i r="2">
      <x v="253"/>
    </i>
    <i r="2">
      <x v="254"/>
    </i>
    <i r="2">
      <x v="255"/>
    </i>
    <i r="2">
      <x v="256"/>
    </i>
    <i r="2">
      <x v="257"/>
    </i>
    <i r="2">
      <x v="258"/>
    </i>
    <i r="2">
      <x v="259"/>
    </i>
    <i r="2">
      <x v="260"/>
    </i>
    <i r="2">
      <x v="261"/>
    </i>
    <i r="2">
      <x v="262"/>
    </i>
    <i r="2">
      <x v="263"/>
    </i>
    <i r="2">
      <x v="264"/>
    </i>
    <i r="2">
      <x v="265"/>
    </i>
    <i r="2">
      <x v="266"/>
    </i>
    <i r="2">
      <x v="267"/>
    </i>
    <i r="2">
      <x v="268"/>
    </i>
    <i r="2">
      <x v="269"/>
    </i>
    <i r="2">
      <x v="270"/>
    </i>
    <i r="2">
      <x v="271"/>
    </i>
    <i r="2">
      <x v="272"/>
    </i>
    <i t="default" r="1">
      <x v="9"/>
    </i>
    <i t="default">
      <x v="3"/>
    </i>
    <i>
      <x v="4"/>
      <x v="10"/>
      <x v="273"/>
    </i>
    <i r="2">
      <x v="274"/>
    </i>
    <i r="2">
      <x v="275"/>
    </i>
    <i r="2">
      <x v="276"/>
    </i>
    <i r="2">
      <x v="277"/>
    </i>
    <i r="2">
      <x v="278"/>
    </i>
    <i r="2">
      <x v="279"/>
    </i>
    <i r="2">
      <x v="280"/>
    </i>
    <i r="2">
      <x v="281"/>
    </i>
    <i r="2">
      <x v="282"/>
    </i>
    <i r="2">
      <x v="283"/>
    </i>
    <i r="2">
      <x v="284"/>
    </i>
    <i r="2">
      <x v="285"/>
    </i>
    <i r="2">
      <x v="286"/>
    </i>
    <i r="2">
      <x v="287"/>
    </i>
    <i r="2">
      <x v="288"/>
    </i>
    <i r="2">
      <x v="289"/>
    </i>
    <i r="2">
      <x v="290"/>
    </i>
    <i r="2">
      <x v="291"/>
    </i>
    <i r="2">
      <x v="292"/>
    </i>
    <i r="2">
      <x v="293"/>
    </i>
    <i r="2">
      <x v="294"/>
    </i>
    <i r="2">
      <x v="295"/>
    </i>
    <i r="2">
      <x v="296"/>
    </i>
    <i r="2">
      <x v="297"/>
    </i>
    <i r="2">
      <x v="298"/>
    </i>
    <i r="2">
      <x v="299"/>
    </i>
    <i r="2">
      <x v="300"/>
    </i>
    <i r="2">
      <x v="301"/>
    </i>
    <i r="2">
      <x v="302"/>
    </i>
    <i r="2">
      <x v="303"/>
    </i>
    <i t="default" r="1">
      <x v="10"/>
    </i>
    <i r="1">
      <x v="11"/>
      <x v="304"/>
    </i>
    <i r="2">
      <x v="305"/>
    </i>
    <i r="2">
      <x v="306"/>
    </i>
    <i r="2">
      <x v="307"/>
    </i>
    <i r="2">
      <x v="308"/>
    </i>
    <i r="2">
      <x v="309"/>
    </i>
    <i r="2">
      <x v="310"/>
    </i>
    <i r="2">
      <x v="311"/>
    </i>
    <i r="2">
      <x v="312"/>
    </i>
    <i r="2">
      <x v="313"/>
    </i>
    <i r="2">
      <x v="314"/>
    </i>
    <i r="2">
      <x v="315"/>
    </i>
    <i r="2">
      <x v="316"/>
    </i>
    <i r="2">
      <x v="317"/>
    </i>
    <i r="2">
      <x v="318"/>
    </i>
    <i r="2">
      <x v="319"/>
    </i>
    <i r="2">
      <x v="320"/>
    </i>
    <i r="2">
      <x v="321"/>
    </i>
    <i r="2">
      <x v="322"/>
    </i>
    <i r="2">
      <x v="323"/>
    </i>
    <i r="2">
      <x v="324"/>
    </i>
    <i r="2">
      <x v="325"/>
    </i>
    <i r="2">
      <x v="326"/>
    </i>
    <i r="2">
      <x v="327"/>
    </i>
    <i r="2">
      <x v="328"/>
    </i>
    <i r="2">
      <x v="329"/>
    </i>
    <i r="2">
      <x v="330"/>
    </i>
    <i r="2">
      <x v="331"/>
    </i>
    <i r="2">
      <x v="332"/>
    </i>
    <i r="2">
      <x v="333"/>
    </i>
    <i t="default" r="1">
      <x v="11"/>
    </i>
    <i r="1">
      <x v="12"/>
      <x v="334"/>
    </i>
    <i r="2">
      <x v="335"/>
    </i>
    <i r="2">
      <x v="336"/>
    </i>
    <i r="2">
      <x v="337"/>
    </i>
    <i r="2">
      <x v="338"/>
    </i>
    <i r="2">
      <x v="339"/>
    </i>
    <i r="2">
      <x v="340"/>
    </i>
    <i r="2">
      <x v="341"/>
    </i>
    <i r="2">
      <x v="342"/>
    </i>
    <i r="2">
      <x v="343"/>
    </i>
    <i r="2">
      <x v="344"/>
    </i>
    <i r="2">
      <x v="345"/>
    </i>
    <i r="2">
      <x v="346"/>
    </i>
    <i r="2">
      <x v="347"/>
    </i>
    <i r="2">
      <x v="348"/>
    </i>
    <i r="2">
      <x v="349"/>
    </i>
    <i r="2">
      <x v="350"/>
    </i>
    <i r="2">
      <x v="351"/>
    </i>
    <i r="2">
      <x v="352"/>
    </i>
    <i r="2">
      <x v="353"/>
    </i>
    <i r="2">
      <x v="354"/>
    </i>
    <i r="2">
      <x v="355"/>
    </i>
    <i r="2">
      <x v="356"/>
    </i>
    <i r="2">
      <x v="357"/>
    </i>
    <i r="2">
      <x v="358"/>
    </i>
    <i r="2">
      <x v="359"/>
    </i>
    <i r="2">
      <x v="360"/>
    </i>
    <i r="2">
      <x v="361"/>
    </i>
    <i r="2">
      <x v="362"/>
    </i>
    <i r="2">
      <x v="363"/>
    </i>
    <i r="2">
      <x v="364"/>
    </i>
    <i t="default" r="1">
      <x v="12"/>
    </i>
    <i t="default">
      <x v="4"/>
    </i>
    <i t="grand">
      <x/>
    </i>
  </rowItems>
  <colItems count="1">
    <i/>
  </colItems>
  <dataFields count="1">
    <dataField name="Sum of Sale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9617FF9-2DE2-4A9D-A72D-B8A776A4C5CB}" name="PivotTable1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7:O18" firstHeaderRow="1" firstDataRow="1" firstDataCol="1"/>
  <pivotFields count="12">
    <pivotField showAll="0"/>
    <pivotField numFmtId="14" showAll="0">
      <items count="3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t="default"/>
      </items>
    </pivotField>
    <pivotField showAll="0"/>
    <pivotField axis="axisRow" showAll="0">
      <items count="8">
        <item x="4"/>
        <item x="0"/>
        <item x="6"/>
        <item x="2"/>
        <item x="5"/>
        <item x="1"/>
        <item x="3"/>
        <item t="default"/>
      </items>
    </pivotField>
    <pivotField showAll="0"/>
    <pivotField showAll="0"/>
    <pivotField showAll="0"/>
    <pivotField dataField="1" showAll="0"/>
    <pivotField showAll="0"/>
    <pivotField axis="axisRow" showAll="0">
      <items count="4">
        <item n="south" x="1"/>
        <item n="north" x="2"/>
        <item x="0"/>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2">
    <field x="9"/>
    <field x="3"/>
  </rowFields>
  <rowItems count="11">
    <i>
      <x/>
    </i>
    <i r="1">
      <x/>
    </i>
    <i r="1">
      <x v="1"/>
    </i>
    <i r="1">
      <x v="2"/>
    </i>
    <i>
      <x v="1"/>
    </i>
    <i r="1">
      <x v="3"/>
    </i>
    <i r="1">
      <x v="4"/>
    </i>
    <i r="1">
      <x v="5"/>
    </i>
    <i>
      <x v="2"/>
    </i>
    <i r="1">
      <x v="6"/>
    </i>
    <i t="grand">
      <x/>
    </i>
  </rowItems>
  <colItems count="1">
    <i/>
  </colItems>
  <dataFields count="1">
    <dataField name="Sum of Sale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97DB057-0C1A-483C-B715-EC541218B7E2}" name="PivotTable17"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location ref="A4:B12" firstHeaderRow="1" firstDataRow="1" firstDataCol="1"/>
  <pivotFields count="10">
    <pivotField showAll="0"/>
    <pivotField axis="axisRow" showAll="0" measureFilter="1">
      <items count="142">
        <item sd="0" x="0"/>
        <item sd="0" x="1"/>
        <item sd="0" x="2"/>
        <item sd="0" x="3"/>
        <item sd="0" x="4"/>
        <item sd="0" x="5"/>
        <item sd="0" x="6"/>
        <item sd="0" x="7"/>
        <item sd="0" x="8"/>
        <item sd="0" x="9"/>
        <item sd="0" x="10"/>
        <item sd="0" x="11"/>
        <item sd="0" x="12"/>
        <item sd="0" x="13"/>
        <item sd="0" x="14"/>
        <item sd="0"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dataField="1" numFmtId="164" showAll="0">
      <items count="143">
        <item x="48"/>
        <item x="140"/>
        <item x="5"/>
        <item x="62"/>
        <item x="41"/>
        <item x="89"/>
        <item x="58"/>
        <item x="97"/>
        <item x="4"/>
        <item x="28"/>
        <item x="130"/>
        <item x="25"/>
        <item x="80"/>
        <item x="33"/>
        <item x="53"/>
        <item x="22"/>
        <item x="49"/>
        <item x="16"/>
        <item x="43"/>
        <item x="55"/>
        <item x="61"/>
        <item x="69"/>
        <item x="116"/>
        <item x="47"/>
        <item x="83"/>
        <item x="13"/>
        <item x="29"/>
        <item x="40"/>
        <item x="104"/>
        <item x="50"/>
        <item x="125"/>
        <item x="60"/>
        <item x="68"/>
        <item x="87"/>
        <item x="124"/>
        <item x="54"/>
        <item x="71"/>
        <item x="44"/>
        <item x="101"/>
        <item x="96"/>
        <item x="113"/>
        <item x="94"/>
        <item x="108"/>
        <item x="66"/>
        <item x="92"/>
        <item x="111"/>
        <item x="126"/>
        <item x="82"/>
        <item x="11"/>
        <item x="112"/>
        <item x="127"/>
        <item x="128"/>
        <item x="56"/>
        <item x="76"/>
        <item x="114"/>
        <item x="123"/>
        <item x="70"/>
        <item x="35"/>
        <item x="51"/>
        <item x="3"/>
        <item x="81"/>
        <item x="23"/>
        <item x="10"/>
        <item x="90"/>
        <item x="34"/>
        <item x="121"/>
        <item x="59"/>
        <item x="8"/>
        <item x="134"/>
        <item x="20"/>
        <item x="26"/>
        <item x="129"/>
        <item x="52"/>
        <item x="24"/>
        <item x="12"/>
        <item x="85"/>
        <item x="57"/>
        <item x="117"/>
        <item x="139"/>
        <item x="27"/>
        <item x="91"/>
        <item x="132"/>
        <item x="37"/>
        <item x="46"/>
        <item x="1"/>
        <item x="99"/>
        <item x="0"/>
        <item x="36"/>
        <item x="105"/>
        <item x="107"/>
        <item x="72"/>
        <item x="106"/>
        <item x="109"/>
        <item x="39"/>
        <item x="98"/>
        <item x="32"/>
        <item x="79"/>
        <item x="100"/>
        <item x="6"/>
        <item x="17"/>
        <item x="67"/>
        <item x="2"/>
        <item x="14"/>
        <item x="110"/>
        <item x="102"/>
        <item x="15"/>
        <item x="122"/>
        <item x="38"/>
        <item x="21"/>
        <item x="115"/>
        <item x="88"/>
        <item x="30"/>
        <item x="19"/>
        <item x="136"/>
        <item x="133"/>
        <item x="31"/>
        <item x="77"/>
        <item x="93"/>
        <item x="64"/>
        <item x="9"/>
        <item x="95"/>
        <item x="65"/>
        <item x="18"/>
        <item x="45"/>
        <item x="63"/>
        <item x="74"/>
        <item x="86"/>
        <item x="135"/>
        <item x="75"/>
        <item x="78"/>
        <item x="120"/>
        <item x="84"/>
        <item x="42"/>
        <item x="137"/>
        <item x="118"/>
        <item x="103"/>
        <item x="73"/>
        <item x="131"/>
        <item x="141"/>
        <item x="138"/>
        <item x="119"/>
        <item x="7"/>
        <item t="default"/>
      </items>
    </pivotField>
    <pivotField showAll="0"/>
    <pivotField numFmtId="164" showAll="0"/>
    <pivotField showAll="0"/>
    <pivotField numFmtId="9"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1"/>
  </rowFields>
  <rowItems count="8">
    <i>
      <x v="7"/>
    </i>
    <i>
      <x v="15"/>
    </i>
    <i>
      <x v="52"/>
    </i>
    <i>
      <x v="85"/>
    </i>
    <i>
      <x v="109"/>
    </i>
    <i>
      <x v="117"/>
    </i>
    <i>
      <x v="126"/>
    </i>
    <i>
      <x v="137"/>
    </i>
  </rowItems>
  <colItems count="1">
    <i/>
  </colItems>
  <dataFields count="1">
    <dataField name="Emp Total Number of woking hours" fld="2" baseField="1" baseItem="15" numFmtId="164"/>
  </dataFields>
  <formats count="7">
    <format dxfId="6">
      <pivotArea field="1" type="button" dataOnly="0" labelOnly="1" outline="0" axis="axisRow" fieldPosition="0"/>
    </format>
    <format dxfId="5">
      <pivotArea dataOnly="0" labelOnly="1" outline="0" axis="axisValues" fieldPosition="0"/>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4">
            <x v="15"/>
            <x v="85"/>
            <x v="109"/>
            <x v="126"/>
          </reference>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86"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9096C45-E6EA-4DDF-A161-7E37A877FA7A}" name="PivotTable1"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D4:E7" firstHeaderRow="1" firstDataRow="1" firstDataCol="1"/>
  <pivotFields count="10">
    <pivotField showAll="0"/>
    <pivotField axis="axisRow" showAll="0" measureFilter="1">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numFmtId="164" showAll="0">
      <items count="143">
        <item x="48"/>
        <item x="140"/>
        <item x="5"/>
        <item x="62"/>
        <item x="41"/>
        <item x="89"/>
        <item x="58"/>
        <item x="97"/>
        <item x="4"/>
        <item x="28"/>
        <item x="130"/>
        <item x="25"/>
        <item x="80"/>
        <item x="33"/>
        <item x="53"/>
        <item x="22"/>
        <item x="49"/>
        <item x="16"/>
        <item x="43"/>
        <item x="55"/>
        <item x="61"/>
        <item x="69"/>
        <item x="116"/>
        <item x="47"/>
        <item x="83"/>
        <item x="13"/>
        <item x="29"/>
        <item x="40"/>
        <item x="104"/>
        <item x="50"/>
        <item x="125"/>
        <item x="60"/>
        <item x="68"/>
        <item x="87"/>
        <item x="124"/>
        <item x="54"/>
        <item x="71"/>
        <item x="44"/>
        <item x="101"/>
        <item x="96"/>
        <item x="113"/>
        <item x="94"/>
        <item x="108"/>
        <item x="66"/>
        <item x="92"/>
        <item x="111"/>
        <item x="126"/>
        <item x="82"/>
        <item x="11"/>
        <item x="112"/>
        <item x="127"/>
        <item x="128"/>
        <item x="56"/>
        <item x="76"/>
        <item x="114"/>
        <item x="123"/>
        <item x="70"/>
        <item x="35"/>
        <item x="51"/>
        <item x="3"/>
        <item x="81"/>
        <item x="23"/>
        <item x="10"/>
        <item x="90"/>
        <item x="34"/>
        <item x="121"/>
        <item x="59"/>
        <item x="8"/>
        <item x="134"/>
        <item x="20"/>
        <item x="26"/>
        <item x="129"/>
        <item x="52"/>
        <item x="24"/>
        <item x="12"/>
        <item x="85"/>
        <item x="57"/>
        <item x="117"/>
        <item x="139"/>
        <item x="27"/>
        <item x="91"/>
        <item x="132"/>
        <item x="37"/>
        <item x="46"/>
        <item x="1"/>
        <item x="99"/>
        <item x="0"/>
        <item x="36"/>
        <item x="105"/>
        <item x="107"/>
        <item x="72"/>
        <item x="106"/>
        <item x="109"/>
        <item x="39"/>
        <item x="98"/>
        <item x="32"/>
        <item x="79"/>
        <item x="100"/>
        <item x="6"/>
        <item x="17"/>
        <item x="67"/>
        <item x="2"/>
        <item x="14"/>
        <item x="110"/>
        <item x="102"/>
        <item x="15"/>
        <item x="122"/>
        <item x="38"/>
        <item x="21"/>
        <item x="115"/>
        <item x="88"/>
        <item x="30"/>
        <item x="19"/>
        <item x="136"/>
        <item x="133"/>
        <item x="31"/>
        <item x="77"/>
        <item x="93"/>
        <item x="64"/>
        <item x="9"/>
        <item x="95"/>
        <item x="65"/>
        <item x="18"/>
        <item x="45"/>
        <item x="63"/>
        <item x="74"/>
        <item x="86"/>
        <item x="135"/>
        <item x="75"/>
        <item x="78"/>
        <item x="120"/>
        <item x="84"/>
        <item x="42"/>
        <item x="137"/>
        <item x="118"/>
        <item x="103"/>
        <item x="73"/>
        <item x="131"/>
        <item x="141"/>
        <item x="138"/>
        <item x="119"/>
        <item x="7"/>
        <item t="default"/>
      </items>
    </pivotField>
    <pivotField showAll="0"/>
    <pivotField numFmtId="164" showAll="0"/>
    <pivotField showAll="0"/>
    <pivotField dataField="1" numFmtId="9" showAl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1"/>
  </rowFields>
  <rowItems count="3">
    <i>
      <x v="15"/>
    </i>
    <i>
      <x v="85"/>
    </i>
    <i>
      <x v="109"/>
    </i>
  </rowItems>
  <colItems count="1">
    <i/>
  </colItems>
  <dataFields count="1">
    <dataField name="Sum of Active With Cust." fld="6" baseField="1" baseItem="0" numFmtId="9"/>
  </dataFields>
  <formats count="5">
    <format dxfId="11">
      <pivotArea type="all" dataOnly="0" outline="0" fieldPosition="0"/>
    </format>
    <format dxfId="10">
      <pivotArea outline="0" collapsedLevelsAreSubtotals="1" fieldPosition="0"/>
    </format>
    <format dxfId="9">
      <pivotArea field="1" type="button" dataOnly="0" labelOnly="1" outline="0" axis="axisRow" fieldPosition="0"/>
    </format>
    <format dxfId="8">
      <pivotArea dataOnly="0" labelOnly="1" fieldPosition="0">
        <references count="1">
          <reference field="1" count="6">
            <x v="5"/>
            <x v="15"/>
            <x v="52"/>
            <x v="85"/>
            <x v="109"/>
            <x v="126"/>
          </reference>
        </references>
      </pivotArea>
    </format>
    <format dxfId="7">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52"/>
          </reference>
        </references>
      </pivotArea>
    </chartFormat>
    <chartFormat chart="0" format="3">
      <pivotArea type="data" outline="0" fieldPosition="0">
        <references count="2">
          <reference field="4294967294" count="1" selected="0">
            <x v="0"/>
          </reference>
          <reference field="1" count="1" selected="0">
            <x v="85"/>
          </reference>
        </references>
      </pivotArea>
    </chartFormat>
    <chartFormat chart="0" format="4">
      <pivotArea type="data" outline="0" fieldPosition="0">
        <references count="2">
          <reference field="4294967294" count="1" selected="0">
            <x v="0"/>
          </reference>
          <reference field="1" count="1" selected="0">
            <x v="109"/>
          </reference>
        </references>
      </pivotArea>
    </chartFormat>
    <chartFormat chart="0" format="5">
      <pivotArea type="data" outline="0" fieldPosition="0">
        <references count="2">
          <reference field="4294967294" count="1" selected="0">
            <x v="0"/>
          </reference>
          <reference field="1" count="1" selected="0">
            <x v="5"/>
          </reference>
        </references>
      </pivotArea>
    </chartFormat>
    <chartFormat chart="0" format="6">
      <pivotArea type="data" outline="0" fieldPosition="0">
        <references count="2">
          <reference field="4294967294" count="1" selected="0">
            <x v="0"/>
          </reference>
          <reference field="1" count="1" selected="0">
            <x v="22"/>
          </reference>
        </references>
      </pivotArea>
    </chartFormat>
    <chartFormat chart="0" format="7">
      <pivotArea type="data" outline="0" fieldPosition="0">
        <references count="2">
          <reference field="4294967294" count="1" selected="0">
            <x v="0"/>
          </reference>
          <reference field="1" count="1" selected="0">
            <x v="39"/>
          </reference>
        </references>
      </pivotArea>
    </chartFormat>
    <chartFormat chart="0" format="8">
      <pivotArea type="data" outline="0" fieldPosition="0">
        <references count="2">
          <reference field="4294967294" count="1" selected="0">
            <x v="0"/>
          </reference>
          <reference field="1" count="1" selected="0">
            <x v="41"/>
          </reference>
        </references>
      </pivotArea>
    </chartFormat>
    <chartFormat chart="0" format="9">
      <pivotArea type="data" outline="0" fieldPosition="0">
        <references count="2">
          <reference field="4294967294" count="1" selected="0">
            <x v="0"/>
          </reference>
          <reference field="1" count="1" selected="0">
            <x v="126"/>
          </reference>
        </references>
      </pivotArea>
    </chartFormat>
  </chartFormats>
  <pivotTableStyleInfo name="PivotStyleLight16" showRowHeaders="1" showColHeaders="1" showRowStripes="0" showColStripes="0" showLastColumn="1"/>
  <filters count="1">
    <filter fld="1" type="count" evalOrder="-1" id="336"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CD646B94-101C-4E3D-8268-D945C71BEBE2}" sourceName="Country">
  <pivotTables>
    <pivotTable tabId="5" name="PivotTable6"/>
    <pivotTable tabId="5" name="PivotTable9"/>
    <pivotTable tabId="5" name="PivotTable10"/>
  </pivotTables>
  <data>
    <tabular pivotCacheId="452818667">
      <items count="7">
        <i x="4" nd="1"/>
        <i x="0" s="1" nd="1"/>
        <i x="6" nd="1"/>
        <i x="2" nd="1"/>
        <i x="5" nd="1"/>
        <i x="1" nd="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00C3A8F-CDB9-423B-BCD4-BECF0CA191FF}" sourceName="Region">
  <pivotTables>
    <pivotTable tabId="5" name="PivotTable6"/>
    <pivotTable tabId="5" name="PivotTable9"/>
    <pivotTable tabId="5" name="PivotTable10"/>
  </pivotTables>
  <data>
    <tabular pivotCacheId="452818667">
      <items count="3">
        <i x="0" nd="1"/>
        <i x="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900AD853-3FF9-4149-B6A1-31DBEBAFF5EF}" cache="Slicer_Country" caption="Country" showCaption="0" style="myslicer" rowHeight="241300"/>
  <slicer name="Region" xr10:uid="{58A53C40-2CB8-4B50-B232-6F00E6A83C95}" cache="Slicer_Region" caption="Region" columnCount="3" showCaption="0"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C5C42B22-FA4F-469B-A2B3-2B58B001BBE4}" sourceName="Order Date">
  <pivotTables>
    <pivotTable tabId="7" name="PivotTable11"/>
    <pivotTable tabId="5" name="PivotTable10"/>
    <pivotTable tabId="5" name="PivotTable6"/>
    <pivotTable tabId="5" name="PivotTable9"/>
  </pivotTables>
  <state minimalRefreshVersion="6" lastRefreshVersion="6" pivotCacheId="452818667" filterType="dateBetween">
    <selection startDate="2018-06-01T00:00:00" endDate="2018-06-30T00:00:00"/>
    <bounds startDate="2018-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1F7B9CD7-7CEF-492D-AB48-A89F1BD76C5E}" cache="NativeTimeline_Order_Date" caption="Order Date" level="2" selectionLevel="2" scrollPosition="2018-01-01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microsoft.com/office/2007/relationships/slicer" Target="../slicers/slicer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70756-9555-49D6-AB02-37A20F1C4AEF}">
  <sheetPr codeName="Sheet1"/>
  <dimension ref="A3:B8"/>
  <sheetViews>
    <sheetView workbookViewId="0">
      <selection activeCell="N16" sqref="N16"/>
    </sheetView>
  </sheetViews>
  <sheetFormatPr defaultRowHeight="14.5" x14ac:dyDescent="0.35"/>
  <cols>
    <col min="1" max="1" width="12.36328125" bestFit="1" customWidth="1"/>
    <col min="2" max="2" width="11.26953125" bestFit="1" customWidth="1"/>
  </cols>
  <sheetData>
    <row r="3" spans="1:2" x14ac:dyDescent="0.35">
      <c r="A3" s="6" t="s">
        <v>81</v>
      </c>
      <c r="B3" t="s">
        <v>84</v>
      </c>
    </row>
    <row r="4" spans="1:2" x14ac:dyDescent="0.35">
      <c r="A4" s="7" t="s">
        <v>13</v>
      </c>
      <c r="B4">
        <v>113914</v>
      </c>
    </row>
    <row r="5" spans="1:2" x14ac:dyDescent="0.35">
      <c r="A5" s="7" t="s">
        <v>36</v>
      </c>
      <c r="B5">
        <v>17968</v>
      </c>
    </row>
    <row r="6" spans="1:2" x14ac:dyDescent="0.35">
      <c r="A6" s="7" t="s">
        <v>42</v>
      </c>
      <c r="B6">
        <v>66647</v>
      </c>
    </row>
    <row r="7" spans="1:2" x14ac:dyDescent="0.35">
      <c r="A7" s="7" t="s">
        <v>82</v>
      </c>
    </row>
    <row r="8" spans="1:2" x14ac:dyDescent="0.35">
      <c r="A8" s="7" t="s">
        <v>83</v>
      </c>
      <c r="B8">
        <v>198529</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1B8-2C87-4ABF-A16B-9B841EF788A5}">
  <sheetPr codeName="Sheet2"/>
  <dimension ref="A3:K17"/>
  <sheetViews>
    <sheetView workbookViewId="0">
      <selection activeCell="J6" sqref="J6"/>
    </sheetView>
  </sheetViews>
  <sheetFormatPr defaultRowHeight="14.5" x14ac:dyDescent="0.35"/>
  <cols>
    <col min="1" max="1" width="12.36328125" bestFit="1" customWidth="1"/>
    <col min="2" max="2" width="15.26953125" bestFit="1" customWidth="1"/>
    <col min="3" max="4" width="5.81640625" bestFit="1" customWidth="1"/>
    <col min="5" max="5" width="10.7265625" bestFit="1" customWidth="1"/>
    <col min="10" max="10" width="12.36328125" bestFit="1" customWidth="1"/>
    <col min="11" max="11" width="11.26953125" bestFit="1" customWidth="1"/>
  </cols>
  <sheetData>
    <row r="3" spans="1:11" x14ac:dyDescent="0.35">
      <c r="A3" s="6" t="s">
        <v>84</v>
      </c>
      <c r="B3" s="6" t="s">
        <v>85</v>
      </c>
    </row>
    <row r="4" spans="1:11" x14ac:dyDescent="0.35">
      <c r="A4" s="6" t="s">
        <v>81</v>
      </c>
      <c r="B4" t="s">
        <v>83</v>
      </c>
    </row>
    <row r="5" spans="1:11" x14ac:dyDescent="0.35">
      <c r="A5" s="7" t="s">
        <v>83</v>
      </c>
    </row>
    <row r="6" spans="1:11" x14ac:dyDescent="0.35">
      <c r="J6" s="6" t="s">
        <v>81</v>
      </c>
      <c r="K6" t="s">
        <v>84</v>
      </c>
    </row>
    <row r="7" spans="1:11" x14ac:dyDescent="0.35">
      <c r="J7" s="7" t="s">
        <v>83</v>
      </c>
    </row>
    <row r="15" spans="1:11" x14ac:dyDescent="0.35">
      <c r="A15" s="6" t="s">
        <v>84</v>
      </c>
      <c r="B15" s="6" t="s">
        <v>85</v>
      </c>
    </row>
    <row r="16" spans="1:11" x14ac:dyDescent="0.35">
      <c r="A16" s="6" t="s">
        <v>81</v>
      </c>
      <c r="B16" t="s">
        <v>83</v>
      </c>
    </row>
    <row r="17" spans="1:1" x14ac:dyDescent="0.35">
      <c r="A17" s="7" t="s">
        <v>83</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B3904-4EF6-468B-B0A5-D58008FB4638}">
  <sheetPr codeName="Sheet3"/>
  <dimension ref="A3:D4"/>
  <sheetViews>
    <sheetView workbookViewId="0">
      <selection activeCell="A3" sqref="A3"/>
    </sheetView>
  </sheetViews>
  <sheetFormatPr defaultRowHeight="14.5" x14ac:dyDescent="0.35"/>
  <cols>
    <col min="1" max="1" width="12.36328125" bestFit="1" customWidth="1"/>
    <col min="2" max="2" width="9.36328125" bestFit="1" customWidth="1"/>
    <col min="3" max="3" width="14.1796875" bestFit="1" customWidth="1"/>
    <col min="4" max="4" width="10" bestFit="1" customWidth="1"/>
  </cols>
  <sheetData>
    <row r="3" spans="1:4" x14ac:dyDescent="0.35">
      <c r="A3" s="6" t="s">
        <v>81</v>
      </c>
      <c r="B3" t="s">
        <v>87</v>
      </c>
      <c r="C3" t="s">
        <v>86</v>
      </c>
      <c r="D3" t="s">
        <v>88</v>
      </c>
    </row>
    <row r="4" spans="1:4" x14ac:dyDescent="0.35">
      <c r="A4" s="7" t="s">
        <v>83</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D955B-4490-4295-85ED-B48159B17B0F}">
  <sheetPr codeName="Sheet4"/>
  <dimension ref="A3:H22"/>
  <sheetViews>
    <sheetView workbookViewId="0">
      <selection activeCell="A3" sqref="A3"/>
      <pivotSelection pane="bottomRight" click="1" r:id="rId1">
        <pivotArea field="4" type="button" dataOnly="0" labelOnly="1" outline="0" axis="axisPage" fieldPosition="0"/>
      </pivotSelection>
    </sheetView>
  </sheetViews>
  <sheetFormatPr defaultRowHeight="14.5" x14ac:dyDescent="0.35"/>
  <cols>
    <col min="1" max="1" width="14.6328125" bestFit="1" customWidth="1"/>
    <col min="2" max="2" width="11.26953125" bestFit="1" customWidth="1"/>
    <col min="4" max="5" width="6.453125" bestFit="1" customWidth="1"/>
    <col min="7" max="7" width="7.453125" bestFit="1" customWidth="1"/>
    <col min="8" max="8" width="6.453125" bestFit="1" customWidth="1"/>
  </cols>
  <sheetData>
    <row r="3" spans="1:8" x14ac:dyDescent="0.35">
      <c r="A3" s="6" t="s">
        <v>4</v>
      </c>
      <c r="B3" t="s">
        <v>428</v>
      </c>
      <c r="D3" s="6" t="s">
        <v>6</v>
      </c>
      <c r="E3" t="s">
        <v>428</v>
      </c>
      <c r="G3" s="6" t="s">
        <v>3</v>
      </c>
      <c r="H3" t="s">
        <v>428</v>
      </c>
    </row>
    <row r="5" spans="1:8" x14ac:dyDescent="0.35">
      <c r="A5" s="14" t="s">
        <v>81</v>
      </c>
      <c r="B5" s="15" t="s">
        <v>84</v>
      </c>
    </row>
    <row r="6" spans="1:8" x14ac:dyDescent="0.35">
      <c r="A6" s="7" t="s">
        <v>403</v>
      </c>
      <c r="B6">
        <v>284457</v>
      </c>
    </row>
    <row r="7" spans="1:8" x14ac:dyDescent="0.35">
      <c r="A7" s="8" t="s">
        <v>391</v>
      </c>
      <c r="B7">
        <v>96803</v>
      </c>
    </row>
    <row r="8" spans="1:8" x14ac:dyDescent="0.35">
      <c r="A8" s="8" t="s">
        <v>392</v>
      </c>
      <c r="B8">
        <v>86562</v>
      </c>
    </row>
    <row r="9" spans="1:8" x14ac:dyDescent="0.35">
      <c r="A9" s="8" t="s">
        <v>393</v>
      </c>
      <c r="B9">
        <v>101092</v>
      </c>
    </row>
    <row r="10" spans="1:8" x14ac:dyDescent="0.35">
      <c r="A10" s="7" t="s">
        <v>404</v>
      </c>
      <c r="B10">
        <v>283414</v>
      </c>
    </row>
    <row r="11" spans="1:8" x14ac:dyDescent="0.35">
      <c r="A11" s="8" t="s">
        <v>394</v>
      </c>
      <c r="B11">
        <v>91173</v>
      </c>
    </row>
    <row r="12" spans="1:8" x14ac:dyDescent="0.35">
      <c r="A12" s="8" t="s">
        <v>395</v>
      </c>
      <c r="B12">
        <v>99656</v>
      </c>
    </row>
    <row r="13" spans="1:8" x14ac:dyDescent="0.35">
      <c r="A13" s="8" t="s">
        <v>396</v>
      </c>
      <c r="B13">
        <v>92585</v>
      </c>
    </row>
    <row r="14" spans="1:8" x14ac:dyDescent="0.35">
      <c r="A14" s="7" t="s">
        <v>405</v>
      </c>
      <c r="B14">
        <v>290770</v>
      </c>
    </row>
    <row r="15" spans="1:8" x14ac:dyDescent="0.35">
      <c r="A15" s="8" t="s">
        <v>397</v>
      </c>
      <c r="B15">
        <v>98974</v>
      </c>
    </row>
    <row r="16" spans="1:8" x14ac:dyDescent="0.35">
      <c r="A16" s="8" t="s">
        <v>398</v>
      </c>
      <c r="B16">
        <v>96420</v>
      </c>
    </row>
    <row r="17" spans="1:2" x14ac:dyDescent="0.35">
      <c r="A17" s="8" t="s">
        <v>399</v>
      </c>
      <c r="B17">
        <v>95376</v>
      </c>
    </row>
    <row r="18" spans="1:2" x14ac:dyDescent="0.35">
      <c r="A18" s="7" t="s">
        <v>406</v>
      </c>
      <c r="B18">
        <v>290202</v>
      </c>
    </row>
    <row r="19" spans="1:2" x14ac:dyDescent="0.35">
      <c r="A19" s="8" t="s">
        <v>400</v>
      </c>
      <c r="B19">
        <v>96468</v>
      </c>
    </row>
    <row r="20" spans="1:2" x14ac:dyDescent="0.35">
      <c r="A20" s="8" t="s">
        <v>401</v>
      </c>
      <c r="B20">
        <v>96989</v>
      </c>
    </row>
    <row r="21" spans="1:2" x14ac:dyDescent="0.35">
      <c r="A21" s="8" t="s">
        <v>402</v>
      </c>
      <c r="B21">
        <v>96745</v>
      </c>
    </row>
    <row r="22" spans="1:2" x14ac:dyDescent="0.35">
      <c r="A22" s="7" t="s">
        <v>83</v>
      </c>
      <c r="B22">
        <v>1148843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12375-EDE7-41AF-9172-DCB94F375956}">
  <sheetPr codeName="Sheet5"/>
  <dimension ref="A1:AB391"/>
  <sheetViews>
    <sheetView topLeftCell="A248" workbookViewId="0">
      <selection activeCell="G15" sqref="G15"/>
    </sheetView>
  </sheetViews>
  <sheetFormatPr defaultRowHeight="14.5" x14ac:dyDescent="0.35"/>
  <cols>
    <col min="1" max="1" width="15.54296875" customWidth="1"/>
    <col min="2" max="2" width="16.1796875" customWidth="1"/>
    <col min="3" max="3" width="17.1796875" customWidth="1"/>
    <col min="5" max="5" width="11.1796875" customWidth="1"/>
    <col min="6" max="6" width="12" customWidth="1"/>
    <col min="11" max="11" width="16" bestFit="1" customWidth="1"/>
    <col min="12" max="12" width="11.26953125" bestFit="1" customWidth="1"/>
    <col min="14" max="14" width="12.36328125" bestFit="1" customWidth="1"/>
    <col min="15" max="15" width="11.26953125" bestFit="1" customWidth="1"/>
    <col min="25" max="25" width="12.453125" bestFit="1" customWidth="1"/>
    <col min="26" max="26" width="18.26953125" bestFit="1" customWidth="1"/>
    <col min="27" max="27" width="12.453125" bestFit="1" customWidth="1"/>
    <col min="28" max="28" width="7.81640625" bestFit="1" customWidth="1"/>
    <col min="29" max="29" width="10.26953125" bestFit="1" customWidth="1"/>
  </cols>
  <sheetData>
    <row r="1" spans="1:28" ht="15.5" x14ac:dyDescent="0.35">
      <c r="A1" s="9" t="s">
        <v>0</v>
      </c>
      <c r="B1" s="10" t="s">
        <v>1</v>
      </c>
      <c r="C1" s="9" t="s">
        <v>2</v>
      </c>
      <c r="D1" s="9" t="s">
        <v>3</v>
      </c>
      <c r="E1" s="9" t="s">
        <v>4</v>
      </c>
      <c r="F1" s="9" t="s">
        <v>5</v>
      </c>
      <c r="G1" s="9" t="s">
        <v>6</v>
      </c>
      <c r="H1" s="9" t="s">
        <v>7</v>
      </c>
      <c r="I1" s="9" t="s">
        <v>8</v>
      </c>
    </row>
    <row r="2" spans="1:28" x14ac:dyDescent="0.35">
      <c r="A2" s="11" t="s">
        <v>9</v>
      </c>
      <c r="B2" s="12">
        <v>43101</v>
      </c>
      <c r="C2" s="11" t="s">
        <v>10</v>
      </c>
      <c r="D2" s="11" t="s">
        <v>11</v>
      </c>
      <c r="E2" s="11" t="s">
        <v>12</v>
      </c>
      <c r="F2" s="11" t="s">
        <v>12</v>
      </c>
      <c r="G2" s="11" t="s">
        <v>13</v>
      </c>
      <c r="H2" s="11">
        <v>2934</v>
      </c>
      <c r="I2" s="11">
        <v>1819</v>
      </c>
    </row>
    <row r="3" spans="1:28" x14ac:dyDescent="0.35">
      <c r="A3" s="11" t="s">
        <v>14</v>
      </c>
      <c r="B3" s="12">
        <v>43102</v>
      </c>
      <c r="C3" s="11" t="s">
        <v>15</v>
      </c>
      <c r="D3" s="11" t="s">
        <v>11</v>
      </c>
      <c r="E3" s="11" t="s">
        <v>12</v>
      </c>
      <c r="F3" s="11" t="s">
        <v>12</v>
      </c>
      <c r="G3" s="11" t="s">
        <v>13</v>
      </c>
      <c r="H3" s="11">
        <v>4354</v>
      </c>
      <c r="I3" s="11">
        <v>2787</v>
      </c>
    </row>
    <row r="4" spans="1:28" x14ac:dyDescent="0.35">
      <c r="A4" s="11" t="s">
        <v>16</v>
      </c>
      <c r="B4" s="12">
        <v>43103</v>
      </c>
      <c r="C4" s="11" t="s">
        <v>17</v>
      </c>
      <c r="D4" s="11" t="s">
        <v>11</v>
      </c>
      <c r="E4" s="11" t="s">
        <v>12</v>
      </c>
      <c r="F4" s="11" t="s">
        <v>12</v>
      </c>
      <c r="G4" s="11" t="s">
        <v>13</v>
      </c>
      <c r="H4" s="11">
        <v>2102</v>
      </c>
      <c r="I4" s="11">
        <v>1534</v>
      </c>
    </row>
    <row r="5" spans="1:28" x14ac:dyDescent="0.35">
      <c r="A5" s="11" t="s">
        <v>18</v>
      </c>
      <c r="B5" s="12">
        <v>43104</v>
      </c>
      <c r="C5" s="11" t="s">
        <v>19</v>
      </c>
      <c r="D5" s="11" t="s">
        <v>20</v>
      </c>
      <c r="E5" s="11" t="s">
        <v>21</v>
      </c>
      <c r="F5" s="11" t="s">
        <v>22</v>
      </c>
      <c r="G5" s="11" t="s">
        <v>13</v>
      </c>
      <c r="H5" s="11">
        <v>3261</v>
      </c>
      <c r="I5" s="11">
        <v>2446</v>
      </c>
      <c r="Y5" s="6" t="s">
        <v>84</v>
      </c>
    </row>
    <row r="6" spans="1:28" x14ac:dyDescent="0.35">
      <c r="A6" s="11" t="s">
        <v>23</v>
      </c>
      <c r="B6" s="12">
        <v>43105</v>
      </c>
      <c r="C6" s="11" t="s">
        <v>24</v>
      </c>
      <c r="D6" s="11" t="s">
        <v>20</v>
      </c>
      <c r="E6" s="11" t="s">
        <v>21</v>
      </c>
      <c r="F6" s="11" t="s">
        <v>22</v>
      </c>
      <c r="G6" s="11" t="s">
        <v>13</v>
      </c>
      <c r="H6" s="11">
        <v>2577</v>
      </c>
      <c r="I6" s="11">
        <v>1907</v>
      </c>
      <c r="Y6" s="6" t="s">
        <v>423</v>
      </c>
      <c r="Z6" s="6" t="s">
        <v>409</v>
      </c>
      <c r="AA6" s="6" t="s">
        <v>1</v>
      </c>
      <c r="AB6" t="s">
        <v>410</v>
      </c>
    </row>
    <row r="7" spans="1:28" x14ac:dyDescent="0.35">
      <c r="A7" s="11" t="s">
        <v>25</v>
      </c>
      <c r="B7" s="12">
        <v>43106</v>
      </c>
      <c r="C7" s="11" t="s">
        <v>26</v>
      </c>
      <c r="D7" s="11" t="s">
        <v>20</v>
      </c>
      <c r="E7" s="11" t="s">
        <v>21</v>
      </c>
      <c r="F7" s="11" t="s">
        <v>22</v>
      </c>
      <c r="G7" s="11" t="s">
        <v>13</v>
      </c>
      <c r="H7" s="11">
        <v>3131</v>
      </c>
      <c r="I7" s="11">
        <v>1973</v>
      </c>
      <c r="N7" s="6" t="s">
        <v>81</v>
      </c>
      <c r="O7" t="s">
        <v>84</v>
      </c>
      <c r="Y7" t="s">
        <v>403</v>
      </c>
      <c r="Z7" t="s">
        <v>391</v>
      </c>
      <c r="AA7" s="1">
        <v>43101</v>
      </c>
      <c r="AB7">
        <v>2934</v>
      </c>
    </row>
    <row r="8" spans="1:28" x14ac:dyDescent="0.35">
      <c r="A8" s="11" t="s">
        <v>27</v>
      </c>
      <c r="B8" s="12">
        <v>43107</v>
      </c>
      <c r="C8" s="11" t="s">
        <v>28</v>
      </c>
      <c r="D8" s="11" t="s">
        <v>20</v>
      </c>
      <c r="E8" s="11" t="s">
        <v>21</v>
      </c>
      <c r="F8" s="11" t="s">
        <v>22</v>
      </c>
      <c r="G8" s="11" t="s">
        <v>13</v>
      </c>
      <c r="H8" s="11">
        <v>2683</v>
      </c>
      <c r="I8" s="11">
        <v>1798</v>
      </c>
      <c r="N8" s="7" t="s">
        <v>407</v>
      </c>
      <c r="O8">
        <v>605219</v>
      </c>
      <c r="AA8" s="1">
        <v>43102</v>
      </c>
      <c r="AB8">
        <v>4354</v>
      </c>
    </row>
    <row r="9" spans="1:28" x14ac:dyDescent="0.35">
      <c r="A9" s="11" t="s">
        <v>29</v>
      </c>
      <c r="B9" s="12">
        <v>43108</v>
      </c>
      <c r="C9" s="11" t="s">
        <v>30</v>
      </c>
      <c r="D9" s="11" t="s">
        <v>20</v>
      </c>
      <c r="E9" s="11" t="s">
        <v>21</v>
      </c>
      <c r="F9" s="11" t="s">
        <v>22</v>
      </c>
      <c r="G9" s="11" t="s">
        <v>13</v>
      </c>
      <c r="H9" s="11">
        <v>2613</v>
      </c>
      <c r="I9" s="11">
        <v>1751</v>
      </c>
      <c r="K9" s="6" t="s">
        <v>81</v>
      </c>
      <c r="L9" t="s">
        <v>84</v>
      </c>
      <c r="N9" s="8" t="s">
        <v>49</v>
      </c>
      <c r="O9">
        <v>322995</v>
      </c>
      <c r="AA9" s="1">
        <v>43103</v>
      </c>
      <c r="AB9">
        <v>2102</v>
      </c>
    </row>
    <row r="10" spans="1:28" x14ac:dyDescent="0.35">
      <c r="A10" s="11" t="s">
        <v>31</v>
      </c>
      <c r="B10" s="12">
        <v>43109</v>
      </c>
      <c r="C10" s="11" t="s">
        <v>32</v>
      </c>
      <c r="D10" s="11" t="s">
        <v>33</v>
      </c>
      <c r="E10" s="11" t="s">
        <v>34</v>
      </c>
      <c r="F10" s="11" t="s">
        <v>35</v>
      </c>
      <c r="G10" s="11" t="s">
        <v>36</v>
      </c>
      <c r="H10" s="11">
        <v>4076</v>
      </c>
      <c r="I10" s="11">
        <v>2609</v>
      </c>
      <c r="K10" s="7" t="s">
        <v>403</v>
      </c>
      <c r="L10">
        <v>284457</v>
      </c>
      <c r="N10" s="8" t="s">
        <v>11</v>
      </c>
      <c r="O10">
        <v>173508</v>
      </c>
      <c r="AA10" s="1">
        <v>43104</v>
      </c>
      <c r="AB10">
        <v>3261</v>
      </c>
    </row>
    <row r="11" spans="1:28" x14ac:dyDescent="0.35">
      <c r="A11" s="11" t="s">
        <v>37</v>
      </c>
      <c r="B11" s="12">
        <v>43110</v>
      </c>
      <c r="C11" s="11" t="s">
        <v>38</v>
      </c>
      <c r="D11" s="11" t="s">
        <v>39</v>
      </c>
      <c r="E11" s="11" t="s">
        <v>40</v>
      </c>
      <c r="F11" s="11" t="s">
        <v>41</v>
      </c>
      <c r="G11" s="11" t="s">
        <v>42</v>
      </c>
      <c r="H11" s="11">
        <v>4400</v>
      </c>
      <c r="I11" s="11">
        <v>3432</v>
      </c>
      <c r="K11" s="8" t="s">
        <v>391</v>
      </c>
      <c r="L11">
        <v>96803</v>
      </c>
      <c r="N11" s="8" t="s">
        <v>69</v>
      </c>
      <c r="O11">
        <v>108716</v>
      </c>
      <c r="AA11" s="1">
        <v>43105</v>
      </c>
      <c r="AB11">
        <v>2577</v>
      </c>
    </row>
    <row r="12" spans="1:28" x14ac:dyDescent="0.35">
      <c r="A12" s="11" t="s">
        <v>43</v>
      </c>
      <c r="B12" s="12">
        <v>43111</v>
      </c>
      <c r="C12" s="11" t="s">
        <v>44</v>
      </c>
      <c r="D12" s="11" t="s">
        <v>33</v>
      </c>
      <c r="E12" s="11" t="s">
        <v>45</v>
      </c>
      <c r="F12" s="11" t="s">
        <v>46</v>
      </c>
      <c r="G12" s="11" t="s">
        <v>36</v>
      </c>
      <c r="H12" s="11">
        <v>2466</v>
      </c>
      <c r="I12" s="11">
        <v>1603</v>
      </c>
      <c r="K12" s="13">
        <v>43101</v>
      </c>
      <c r="L12">
        <v>2934</v>
      </c>
      <c r="N12" s="7" t="s">
        <v>408</v>
      </c>
      <c r="O12">
        <v>490437</v>
      </c>
      <c r="AA12" s="1">
        <v>43106</v>
      </c>
      <c r="AB12">
        <v>3131</v>
      </c>
    </row>
    <row r="13" spans="1:28" x14ac:dyDescent="0.35">
      <c r="A13" s="11" t="s">
        <v>47</v>
      </c>
      <c r="B13" s="12">
        <v>43112</v>
      </c>
      <c r="C13" s="11" t="s">
        <v>48</v>
      </c>
      <c r="D13" s="11" t="s">
        <v>49</v>
      </c>
      <c r="E13" s="11" t="s">
        <v>50</v>
      </c>
      <c r="F13" s="11" t="s">
        <v>51</v>
      </c>
      <c r="G13" s="11" t="s">
        <v>42</v>
      </c>
      <c r="H13" s="11">
        <v>2137</v>
      </c>
      <c r="I13" s="11">
        <v>1325</v>
      </c>
      <c r="K13" s="13">
        <v>43102</v>
      </c>
      <c r="L13">
        <v>4354</v>
      </c>
      <c r="N13" s="8" t="s">
        <v>33</v>
      </c>
      <c r="O13">
        <v>102773</v>
      </c>
      <c r="AA13" s="1">
        <v>43107</v>
      </c>
      <c r="AB13">
        <v>2683</v>
      </c>
    </row>
    <row r="14" spans="1:28" x14ac:dyDescent="0.35">
      <c r="A14" s="11" t="s">
        <v>52</v>
      </c>
      <c r="B14" s="12">
        <v>43113</v>
      </c>
      <c r="C14" s="11" t="s">
        <v>53</v>
      </c>
      <c r="D14" s="11" t="s">
        <v>49</v>
      </c>
      <c r="E14" s="11" t="s">
        <v>54</v>
      </c>
      <c r="F14" s="11" t="s">
        <v>55</v>
      </c>
      <c r="G14" s="11" t="s">
        <v>42</v>
      </c>
      <c r="H14" s="11">
        <v>4216</v>
      </c>
      <c r="I14" s="11">
        <v>3162</v>
      </c>
      <c r="K14" s="13">
        <v>43103</v>
      </c>
      <c r="L14">
        <v>2102</v>
      </c>
      <c r="N14" s="8" t="s">
        <v>60</v>
      </c>
      <c r="O14">
        <v>55902</v>
      </c>
      <c r="AA14" s="1">
        <v>43108</v>
      </c>
      <c r="AB14">
        <v>2613</v>
      </c>
    </row>
    <row r="15" spans="1:28" x14ac:dyDescent="0.35">
      <c r="A15" s="11" t="s">
        <v>56</v>
      </c>
      <c r="B15" s="12">
        <v>43114</v>
      </c>
      <c r="C15" s="11" t="s">
        <v>57</v>
      </c>
      <c r="D15" s="11" t="s">
        <v>49</v>
      </c>
      <c r="E15" s="11" t="s">
        <v>54</v>
      </c>
      <c r="F15" s="11" t="s">
        <v>55</v>
      </c>
      <c r="G15" s="11" t="s">
        <v>42</v>
      </c>
      <c r="H15" s="11">
        <v>3165</v>
      </c>
      <c r="I15" s="11">
        <v>2310</v>
      </c>
      <c r="K15" s="13">
        <v>43104</v>
      </c>
      <c r="L15">
        <v>3261</v>
      </c>
      <c r="N15" s="8" t="s">
        <v>20</v>
      </c>
      <c r="O15">
        <v>331762</v>
      </c>
      <c r="AA15" s="1">
        <v>43109</v>
      </c>
      <c r="AB15">
        <v>4076</v>
      </c>
    </row>
    <row r="16" spans="1:28" x14ac:dyDescent="0.35">
      <c r="A16" s="11" t="s">
        <v>58</v>
      </c>
      <c r="B16" s="12">
        <v>43115</v>
      </c>
      <c r="C16" s="11" t="s">
        <v>59</v>
      </c>
      <c r="D16" s="11" t="s">
        <v>60</v>
      </c>
      <c r="E16" s="11" t="s">
        <v>61</v>
      </c>
      <c r="F16" s="11" t="s">
        <v>62</v>
      </c>
      <c r="G16" s="11" t="s">
        <v>13</v>
      </c>
      <c r="H16" s="11">
        <v>3263</v>
      </c>
      <c r="I16" s="11">
        <v>2545</v>
      </c>
      <c r="K16" s="13">
        <v>43105</v>
      </c>
      <c r="L16">
        <v>2577</v>
      </c>
      <c r="N16" s="7" t="s">
        <v>39</v>
      </c>
      <c r="O16">
        <v>53187</v>
      </c>
      <c r="AA16" s="1">
        <v>43110</v>
      </c>
      <c r="AB16">
        <v>4400</v>
      </c>
    </row>
    <row r="17" spans="1:28" x14ac:dyDescent="0.35">
      <c r="A17" s="11" t="s">
        <v>63</v>
      </c>
      <c r="B17" s="12">
        <v>43116</v>
      </c>
      <c r="C17" s="11" t="s">
        <v>64</v>
      </c>
      <c r="D17" s="11" t="s">
        <v>20</v>
      </c>
      <c r="E17" s="11" t="s">
        <v>65</v>
      </c>
      <c r="F17" s="11" t="s">
        <v>66</v>
      </c>
      <c r="G17" s="11" t="s">
        <v>13</v>
      </c>
      <c r="H17" s="11">
        <v>2946</v>
      </c>
      <c r="I17" s="11">
        <v>2210</v>
      </c>
      <c r="K17" s="13">
        <v>43106</v>
      </c>
      <c r="L17">
        <v>3131</v>
      </c>
      <c r="N17" s="8" t="s">
        <v>39</v>
      </c>
      <c r="O17">
        <v>53187</v>
      </c>
      <c r="AA17" s="1">
        <v>43111</v>
      </c>
      <c r="AB17">
        <v>2466</v>
      </c>
    </row>
    <row r="18" spans="1:28" x14ac:dyDescent="0.35">
      <c r="A18" s="11" t="s">
        <v>67</v>
      </c>
      <c r="B18" s="12">
        <v>43117</v>
      </c>
      <c r="C18" s="11" t="s">
        <v>68</v>
      </c>
      <c r="D18" s="11" t="s">
        <v>69</v>
      </c>
      <c r="E18" s="11" t="s">
        <v>70</v>
      </c>
      <c r="F18" s="11" t="s">
        <v>71</v>
      </c>
      <c r="G18" s="11" t="s">
        <v>13</v>
      </c>
      <c r="H18" s="11">
        <v>2989</v>
      </c>
      <c r="I18" s="11">
        <v>2212</v>
      </c>
      <c r="K18" s="13">
        <v>43107</v>
      </c>
      <c r="L18">
        <v>2683</v>
      </c>
      <c r="N18" s="7" t="s">
        <v>83</v>
      </c>
      <c r="O18">
        <v>1148843</v>
      </c>
      <c r="AA18" s="1">
        <v>43112</v>
      </c>
      <c r="AB18">
        <v>2137</v>
      </c>
    </row>
    <row r="19" spans="1:28" x14ac:dyDescent="0.35">
      <c r="A19" s="11" t="s">
        <v>72</v>
      </c>
      <c r="B19" s="12">
        <v>43118</v>
      </c>
      <c r="C19" s="11" t="s">
        <v>73</v>
      </c>
      <c r="D19" s="11" t="s">
        <v>69</v>
      </c>
      <c r="E19" s="11" t="s">
        <v>70</v>
      </c>
      <c r="F19" s="11" t="s">
        <v>71</v>
      </c>
      <c r="G19" s="11" t="s">
        <v>13</v>
      </c>
      <c r="H19" s="11">
        <v>3463</v>
      </c>
      <c r="I19" s="11">
        <v>2770</v>
      </c>
      <c r="K19" s="13">
        <v>43108</v>
      </c>
      <c r="L19">
        <v>2613</v>
      </c>
      <c r="AA19" s="1">
        <v>43113</v>
      </c>
      <c r="AB19">
        <v>4216</v>
      </c>
    </row>
    <row r="20" spans="1:28" x14ac:dyDescent="0.35">
      <c r="A20" s="11" t="s">
        <v>74</v>
      </c>
      <c r="B20" s="12">
        <v>43119</v>
      </c>
      <c r="C20" s="11" t="s">
        <v>75</v>
      </c>
      <c r="D20" s="11" t="s">
        <v>49</v>
      </c>
      <c r="E20" s="11" t="s">
        <v>50</v>
      </c>
      <c r="F20" s="11" t="s">
        <v>76</v>
      </c>
      <c r="G20" s="11" t="s">
        <v>42</v>
      </c>
      <c r="H20" s="11">
        <v>2677</v>
      </c>
      <c r="I20" s="11">
        <v>2088</v>
      </c>
      <c r="K20" s="13">
        <v>43109</v>
      </c>
      <c r="L20">
        <v>4076</v>
      </c>
      <c r="AA20" s="1">
        <v>43114</v>
      </c>
      <c r="AB20">
        <v>3165</v>
      </c>
    </row>
    <row r="21" spans="1:28" x14ac:dyDescent="0.35">
      <c r="A21" s="11" t="s">
        <v>77</v>
      </c>
      <c r="B21" s="12">
        <v>43120</v>
      </c>
      <c r="C21" s="11" t="s">
        <v>78</v>
      </c>
      <c r="D21" s="11" t="s">
        <v>49</v>
      </c>
      <c r="E21" s="11" t="s">
        <v>50</v>
      </c>
      <c r="F21" s="11" t="s">
        <v>76</v>
      </c>
      <c r="G21" s="11" t="s">
        <v>42</v>
      </c>
      <c r="H21" s="11">
        <v>2966</v>
      </c>
      <c r="I21" s="11">
        <v>1928</v>
      </c>
      <c r="K21" s="13">
        <v>43110</v>
      </c>
      <c r="L21">
        <v>4400</v>
      </c>
      <c r="AA21" s="1">
        <v>43115</v>
      </c>
      <c r="AB21">
        <v>3263</v>
      </c>
    </row>
    <row r="22" spans="1:28" x14ac:dyDescent="0.35">
      <c r="A22" s="11" t="s">
        <v>79</v>
      </c>
      <c r="B22" s="12">
        <v>43121</v>
      </c>
      <c r="C22" s="11" t="s">
        <v>80</v>
      </c>
      <c r="D22" s="11" t="s">
        <v>49</v>
      </c>
      <c r="E22" s="11" t="s">
        <v>50</v>
      </c>
      <c r="F22" s="11" t="s">
        <v>76</v>
      </c>
      <c r="G22" s="11" t="s">
        <v>42</v>
      </c>
      <c r="H22" s="11">
        <v>2106</v>
      </c>
      <c r="I22" s="11">
        <v>1516</v>
      </c>
      <c r="K22" s="13">
        <v>43111</v>
      </c>
      <c r="L22">
        <v>2466</v>
      </c>
      <c r="AA22" s="1">
        <v>43116</v>
      </c>
      <c r="AB22">
        <v>2946</v>
      </c>
    </row>
    <row r="23" spans="1:28" x14ac:dyDescent="0.35">
      <c r="A23" s="11" t="s">
        <v>9</v>
      </c>
      <c r="B23" s="12">
        <v>43122</v>
      </c>
      <c r="C23" s="11" t="s">
        <v>10</v>
      </c>
      <c r="D23" s="11" t="s">
        <v>11</v>
      </c>
      <c r="E23" s="11" t="s">
        <v>12</v>
      </c>
      <c r="F23" s="11" t="s">
        <v>12</v>
      </c>
      <c r="G23" s="11" t="s">
        <v>13</v>
      </c>
      <c r="H23" s="11">
        <v>3664</v>
      </c>
      <c r="I23" s="11">
        <v>2272</v>
      </c>
      <c r="K23" s="13">
        <v>43112</v>
      </c>
      <c r="L23">
        <v>2137</v>
      </c>
      <c r="AA23" s="1">
        <v>43117</v>
      </c>
      <c r="AB23">
        <v>2989</v>
      </c>
    </row>
    <row r="24" spans="1:28" x14ac:dyDescent="0.35">
      <c r="A24" s="11" t="s">
        <v>14</v>
      </c>
      <c r="B24" s="12">
        <v>43123</v>
      </c>
      <c r="C24" s="11" t="s">
        <v>15</v>
      </c>
      <c r="D24" s="11" t="s">
        <v>11</v>
      </c>
      <c r="E24" s="11" t="s">
        <v>12</v>
      </c>
      <c r="F24" s="11" t="s">
        <v>12</v>
      </c>
      <c r="G24" s="11" t="s">
        <v>13</v>
      </c>
      <c r="H24" s="11">
        <v>3069</v>
      </c>
      <c r="I24" s="11">
        <v>2240</v>
      </c>
      <c r="K24" s="13">
        <v>43113</v>
      </c>
      <c r="L24">
        <v>4216</v>
      </c>
      <c r="AA24" s="1">
        <v>43118</v>
      </c>
      <c r="AB24">
        <v>3463</v>
      </c>
    </row>
    <row r="25" spans="1:28" x14ac:dyDescent="0.35">
      <c r="A25" s="11" t="s">
        <v>16</v>
      </c>
      <c r="B25" s="12">
        <v>43124</v>
      </c>
      <c r="C25" s="11" t="s">
        <v>17</v>
      </c>
      <c r="D25" s="11" t="s">
        <v>11</v>
      </c>
      <c r="E25" s="11" t="s">
        <v>12</v>
      </c>
      <c r="F25" s="11" t="s">
        <v>12</v>
      </c>
      <c r="G25" s="11" t="s">
        <v>13</v>
      </c>
      <c r="H25" s="11">
        <v>3755</v>
      </c>
      <c r="I25" s="11">
        <v>2516</v>
      </c>
      <c r="K25" s="13">
        <v>43114</v>
      </c>
      <c r="L25">
        <v>3165</v>
      </c>
      <c r="AA25" s="1">
        <v>43119</v>
      </c>
      <c r="AB25">
        <v>2677</v>
      </c>
    </row>
    <row r="26" spans="1:28" x14ac:dyDescent="0.35">
      <c r="A26" s="11" t="s">
        <v>18</v>
      </c>
      <c r="B26" s="12">
        <v>43125</v>
      </c>
      <c r="C26" s="11" t="s">
        <v>19</v>
      </c>
      <c r="D26" s="11" t="s">
        <v>20</v>
      </c>
      <c r="E26" s="11" t="s">
        <v>21</v>
      </c>
      <c r="F26" s="11" t="s">
        <v>22</v>
      </c>
      <c r="G26" s="11" t="s">
        <v>13</v>
      </c>
      <c r="H26" s="11">
        <v>3215</v>
      </c>
      <c r="I26" s="11">
        <v>2058</v>
      </c>
      <c r="K26" s="13">
        <v>43115</v>
      </c>
      <c r="L26">
        <v>3263</v>
      </c>
      <c r="AA26" s="1">
        <v>43120</v>
      </c>
      <c r="AB26">
        <v>2966</v>
      </c>
    </row>
    <row r="27" spans="1:28" x14ac:dyDescent="0.35">
      <c r="A27" s="11" t="s">
        <v>23</v>
      </c>
      <c r="B27" s="12">
        <v>43126</v>
      </c>
      <c r="C27" s="11" t="s">
        <v>24</v>
      </c>
      <c r="D27" s="11" t="s">
        <v>20</v>
      </c>
      <c r="E27" s="11" t="s">
        <v>21</v>
      </c>
      <c r="F27" s="11" t="s">
        <v>22</v>
      </c>
      <c r="G27" s="11" t="s">
        <v>13</v>
      </c>
      <c r="H27" s="11">
        <v>3685</v>
      </c>
      <c r="I27" s="11">
        <v>2543</v>
      </c>
      <c r="K27" s="13">
        <v>43116</v>
      </c>
      <c r="L27">
        <v>2946</v>
      </c>
      <c r="AA27" s="1">
        <v>43121</v>
      </c>
      <c r="AB27">
        <v>2106</v>
      </c>
    </row>
    <row r="28" spans="1:28" x14ac:dyDescent="0.35">
      <c r="A28" s="11" t="s">
        <v>25</v>
      </c>
      <c r="B28" s="12">
        <v>43127</v>
      </c>
      <c r="C28" s="11" t="s">
        <v>26</v>
      </c>
      <c r="D28" s="11" t="s">
        <v>20</v>
      </c>
      <c r="E28" s="11" t="s">
        <v>21</v>
      </c>
      <c r="F28" s="11" t="s">
        <v>22</v>
      </c>
      <c r="G28" s="11" t="s">
        <v>13</v>
      </c>
      <c r="H28" s="11">
        <v>4015</v>
      </c>
      <c r="I28" s="11">
        <v>2730</v>
      </c>
      <c r="K28" s="13">
        <v>43117</v>
      </c>
      <c r="L28">
        <v>2989</v>
      </c>
      <c r="AA28" s="1">
        <v>43122</v>
      </c>
      <c r="AB28">
        <v>3664</v>
      </c>
    </row>
    <row r="29" spans="1:28" x14ac:dyDescent="0.35">
      <c r="A29" s="11" t="s">
        <v>27</v>
      </c>
      <c r="B29" s="12">
        <v>43128</v>
      </c>
      <c r="C29" s="11" t="s">
        <v>28</v>
      </c>
      <c r="D29" s="11" t="s">
        <v>20</v>
      </c>
      <c r="E29" s="11" t="s">
        <v>21</v>
      </c>
      <c r="F29" s="11" t="s">
        <v>22</v>
      </c>
      <c r="G29" s="11" t="s">
        <v>13</v>
      </c>
      <c r="H29" s="11">
        <v>2517</v>
      </c>
      <c r="I29" s="11">
        <v>1661</v>
      </c>
      <c r="K29" s="13">
        <v>43118</v>
      </c>
      <c r="L29">
        <v>3463</v>
      </c>
      <c r="AA29" s="1">
        <v>43123</v>
      </c>
      <c r="AB29">
        <v>3069</v>
      </c>
    </row>
    <row r="30" spans="1:28" x14ac:dyDescent="0.35">
      <c r="A30" s="11" t="s">
        <v>29</v>
      </c>
      <c r="B30" s="12">
        <v>43129</v>
      </c>
      <c r="C30" s="11" t="s">
        <v>30</v>
      </c>
      <c r="D30" s="11" t="s">
        <v>20</v>
      </c>
      <c r="E30" s="11" t="s">
        <v>21</v>
      </c>
      <c r="F30" s="11" t="s">
        <v>22</v>
      </c>
      <c r="G30" s="11" t="s">
        <v>13</v>
      </c>
      <c r="H30" s="11">
        <v>2598</v>
      </c>
      <c r="I30" s="11">
        <v>1793</v>
      </c>
      <c r="K30" s="13">
        <v>43119</v>
      </c>
      <c r="L30">
        <v>2677</v>
      </c>
      <c r="AA30" s="1">
        <v>43124</v>
      </c>
      <c r="AB30">
        <v>3755</v>
      </c>
    </row>
    <row r="31" spans="1:28" x14ac:dyDescent="0.35">
      <c r="A31" s="11" t="s">
        <v>31</v>
      </c>
      <c r="B31" s="12">
        <v>43130</v>
      </c>
      <c r="C31" s="11" t="s">
        <v>32</v>
      </c>
      <c r="D31" s="11" t="s">
        <v>33</v>
      </c>
      <c r="E31" s="11" t="s">
        <v>34</v>
      </c>
      <c r="F31" s="11" t="s">
        <v>35</v>
      </c>
      <c r="G31" s="11" t="s">
        <v>36</v>
      </c>
      <c r="H31" s="11">
        <v>3513</v>
      </c>
      <c r="I31" s="11">
        <v>2740</v>
      </c>
      <c r="K31" s="13">
        <v>43120</v>
      </c>
      <c r="L31">
        <v>2966</v>
      </c>
      <c r="AA31" s="1">
        <v>43125</v>
      </c>
      <c r="AB31">
        <v>3215</v>
      </c>
    </row>
    <row r="32" spans="1:28" x14ac:dyDescent="0.35">
      <c r="A32" s="11" t="s">
        <v>37</v>
      </c>
      <c r="B32" s="12">
        <v>43131</v>
      </c>
      <c r="C32" s="11" t="s">
        <v>38</v>
      </c>
      <c r="D32" s="11" t="s">
        <v>39</v>
      </c>
      <c r="E32" s="11" t="s">
        <v>40</v>
      </c>
      <c r="F32" s="11" t="s">
        <v>41</v>
      </c>
      <c r="G32" s="11" t="s">
        <v>42</v>
      </c>
      <c r="H32" s="11">
        <v>2247</v>
      </c>
      <c r="I32" s="11">
        <v>1775</v>
      </c>
      <c r="K32" s="13">
        <v>43121</v>
      </c>
      <c r="L32">
        <v>2106</v>
      </c>
      <c r="AA32" s="1">
        <v>43126</v>
      </c>
      <c r="AB32">
        <v>3685</v>
      </c>
    </row>
    <row r="33" spans="1:28" x14ac:dyDescent="0.35">
      <c r="A33" s="11" t="s">
        <v>43</v>
      </c>
      <c r="B33" s="12">
        <v>43132</v>
      </c>
      <c r="C33" s="11" t="s">
        <v>44</v>
      </c>
      <c r="D33" s="11" t="s">
        <v>33</v>
      </c>
      <c r="E33" s="11" t="s">
        <v>45</v>
      </c>
      <c r="F33" s="11" t="s">
        <v>46</v>
      </c>
      <c r="G33" s="11" t="s">
        <v>36</v>
      </c>
      <c r="H33" s="11">
        <v>2878</v>
      </c>
      <c r="I33" s="11">
        <v>1784</v>
      </c>
      <c r="K33" s="13">
        <v>43122</v>
      </c>
      <c r="L33">
        <v>3664</v>
      </c>
      <c r="AA33" s="1">
        <v>43127</v>
      </c>
      <c r="AB33">
        <v>4015</v>
      </c>
    </row>
    <row r="34" spans="1:28" x14ac:dyDescent="0.35">
      <c r="A34" s="11" t="s">
        <v>47</v>
      </c>
      <c r="B34" s="12">
        <v>43133</v>
      </c>
      <c r="C34" s="11" t="s">
        <v>48</v>
      </c>
      <c r="D34" s="11" t="s">
        <v>49</v>
      </c>
      <c r="E34" s="11" t="s">
        <v>50</v>
      </c>
      <c r="F34" s="11" t="s">
        <v>51</v>
      </c>
      <c r="G34" s="11" t="s">
        <v>42</v>
      </c>
      <c r="H34" s="11">
        <v>3425</v>
      </c>
      <c r="I34" s="11">
        <v>2706</v>
      </c>
      <c r="K34" s="13">
        <v>43123</v>
      </c>
      <c r="L34">
        <v>3069</v>
      </c>
      <c r="AA34" s="1">
        <v>43128</v>
      </c>
      <c r="AB34">
        <v>2517</v>
      </c>
    </row>
    <row r="35" spans="1:28" x14ac:dyDescent="0.35">
      <c r="A35" s="11" t="s">
        <v>52</v>
      </c>
      <c r="B35" s="12">
        <v>43134</v>
      </c>
      <c r="C35" s="11" t="s">
        <v>53</v>
      </c>
      <c r="D35" s="11" t="s">
        <v>49</v>
      </c>
      <c r="E35" s="11" t="s">
        <v>54</v>
      </c>
      <c r="F35" s="11" t="s">
        <v>55</v>
      </c>
      <c r="G35" s="11" t="s">
        <v>42</v>
      </c>
      <c r="H35" s="11">
        <v>2865</v>
      </c>
      <c r="I35" s="11">
        <v>2091</v>
      </c>
      <c r="K35" s="13">
        <v>43124</v>
      </c>
      <c r="L35">
        <v>3755</v>
      </c>
      <c r="AA35" s="1">
        <v>43129</v>
      </c>
      <c r="AB35">
        <v>2598</v>
      </c>
    </row>
    <row r="36" spans="1:28" x14ac:dyDescent="0.35">
      <c r="A36" s="11" t="s">
        <v>56</v>
      </c>
      <c r="B36" s="12">
        <v>43135</v>
      </c>
      <c r="C36" s="11" t="s">
        <v>57</v>
      </c>
      <c r="D36" s="11" t="s">
        <v>49</v>
      </c>
      <c r="E36" s="11" t="s">
        <v>54</v>
      </c>
      <c r="F36" s="11" t="s">
        <v>55</v>
      </c>
      <c r="G36" s="11" t="s">
        <v>42</v>
      </c>
      <c r="H36" s="11">
        <v>2393</v>
      </c>
      <c r="I36" s="11">
        <v>1723</v>
      </c>
      <c r="K36" s="13">
        <v>43125</v>
      </c>
      <c r="L36">
        <v>3215</v>
      </c>
      <c r="AA36" s="1">
        <v>43130</v>
      </c>
      <c r="AB36">
        <v>3513</v>
      </c>
    </row>
    <row r="37" spans="1:28" x14ac:dyDescent="0.35">
      <c r="A37" s="11" t="s">
        <v>58</v>
      </c>
      <c r="B37" s="12">
        <v>43136</v>
      </c>
      <c r="C37" s="11" t="s">
        <v>59</v>
      </c>
      <c r="D37" s="11" t="s">
        <v>60</v>
      </c>
      <c r="E37" s="11" t="s">
        <v>61</v>
      </c>
      <c r="F37" s="11" t="s">
        <v>62</v>
      </c>
      <c r="G37" s="11" t="s">
        <v>13</v>
      </c>
      <c r="H37" s="11">
        <v>3149</v>
      </c>
      <c r="I37" s="11">
        <v>2299</v>
      </c>
      <c r="K37" s="13">
        <v>43126</v>
      </c>
      <c r="L37">
        <v>3685</v>
      </c>
      <c r="AA37" s="1">
        <v>43131</v>
      </c>
      <c r="AB37">
        <v>2247</v>
      </c>
    </row>
    <row r="38" spans="1:28" x14ac:dyDescent="0.35">
      <c r="A38" s="11" t="s">
        <v>63</v>
      </c>
      <c r="B38" s="12">
        <v>43137</v>
      </c>
      <c r="C38" s="11" t="s">
        <v>64</v>
      </c>
      <c r="D38" s="11" t="s">
        <v>20</v>
      </c>
      <c r="E38" s="11" t="s">
        <v>65</v>
      </c>
      <c r="F38" s="11" t="s">
        <v>66</v>
      </c>
      <c r="G38" s="11" t="s">
        <v>13</v>
      </c>
      <c r="H38" s="11">
        <v>3277</v>
      </c>
      <c r="I38" s="11">
        <v>2130</v>
      </c>
      <c r="K38" s="13">
        <v>43127</v>
      </c>
      <c r="L38">
        <v>4015</v>
      </c>
      <c r="Z38" t="s">
        <v>411</v>
      </c>
      <c r="AB38">
        <v>96803</v>
      </c>
    </row>
    <row r="39" spans="1:28" x14ac:dyDescent="0.35">
      <c r="A39" s="11" t="s">
        <v>67</v>
      </c>
      <c r="B39" s="12">
        <v>43138</v>
      </c>
      <c r="C39" s="11" t="s">
        <v>68</v>
      </c>
      <c r="D39" s="11" t="s">
        <v>69</v>
      </c>
      <c r="E39" s="11" t="s">
        <v>70</v>
      </c>
      <c r="F39" s="11" t="s">
        <v>71</v>
      </c>
      <c r="G39" s="11" t="s">
        <v>13</v>
      </c>
      <c r="H39" s="11">
        <v>2713</v>
      </c>
      <c r="I39" s="11">
        <v>1682</v>
      </c>
      <c r="K39" s="13">
        <v>43128</v>
      </c>
      <c r="L39">
        <v>2517</v>
      </c>
      <c r="Z39" t="s">
        <v>392</v>
      </c>
      <c r="AA39" s="1">
        <v>43132</v>
      </c>
      <c r="AB39">
        <v>2878</v>
      </c>
    </row>
    <row r="40" spans="1:28" x14ac:dyDescent="0.35">
      <c r="A40" s="11" t="s">
        <v>72</v>
      </c>
      <c r="B40" s="12">
        <v>43139</v>
      </c>
      <c r="C40" s="11" t="s">
        <v>73</v>
      </c>
      <c r="D40" s="11" t="s">
        <v>69</v>
      </c>
      <c r="E40" s="11" t="s">
        <v>70</v>
      </c>
      <c r="F40" s="11" t="s">
        <v>71</v>
      </c>
      <c r="G40" s="11" t="s">
        <v>13</v>
      </c>
      <c r="H40" s="11">
        <v>3381</v>
      </c>
      <c r="I40" s="11">
        <v>2231</v>
      </c>
      <c r="K40" s="13">
        <v>43129</v>
      </c>
      <c r="L40">
        <v>2598</v>
      </c>
      <c r="AA40" s="1">
        <v>43133</v>
      </c>
      <c r="AB40">
        <v>3425</v>
      </c>
    </row>
    <row r="41" spans="1:28" x14ac:dyDescent="0.35">
      <c r="A41" s="11" t="s">
        <v>74</v>
      </c>
      <c r="B41" s="12">
        <v>43140</v>
      </c>
      <c r="C41" s="11" t="s">
        <v>75</v>
      </c>
      <c r="D41" s="11" t="s">
        <v>49</v>
      </c>
      <c r="E41" s="11" t="s">
        <v>50</v>
      </c>
      <c r="F41" s="11" t="s">
        <v>76</v>
      </c>
      <c r="G41" s="11" t="s">
        <v>42</v>
      </c>
      <c r="H41" s="11">
        <v>2545</v>
      </c>
      <c r="I41" s="11">
        <v>2011</v>
      </c>
      <c r="K41" s="13">
        <v>43130</v>
      </c>
      <c r="L41">
        <v>3513</v>
      </c>
      <c r="AA41" s="1">
        <v>43134</v>
      </c>
      <c r="AB41">
        <v>2865</v>
      </c>
    </row>
    <row r="42" spans="1:28" x14ac:dyDescent="0.35">
      <c r="A42" s="11" t="s">
        <v>77</v>
      </c>
      <c r="B42" s="12">
        <v>43141</v>
      </c>
      <c r="C42" s="11" t="s">
        <v>78</v>
      </c>
      <c r="D42" s="11" t="s">
        <v>49</v>
      </c>
      <c r="E42" s="11" t="s">
        <v>50</v>
      </c>
      <c r="F42" s="11" t="s">
        <v>76</v>
      </c>
      <c r="G42" s="11" t="s">
        <v>42</v>
      </c>
      <c r="H42" s="11">
        <v>4473</v>
      </c>
      <c r="I42" s="11">
        <v>2729</v>
      </c>
      <c r="K42" s="13">
        <v>43131</v>
      </c>
      <c r="L42">
        <v>2247</v>
      </c>
      <c r="AA42" s="1">
        <v>43135</v>
      </c>
      <c r="AB42">
        <v>2393</v>
      </c>
    </row>
    <row r="43" spans="1:28" x14ac:dyDescent="0.35">
      <c r="A43" s="11" t="s">
        <v>79</v>
      </c>
      <c r="B43" s="12">
        <v>43142</v>
      </c>
      <c r="C43" s="11" t="s">
        <v>80</v>
      </c>
      <c r="D43" s="11" t="s">
        <v>49</v>
      </c>
      <c r="E43" s="11" t="s">
        <v>50</v>
      </c>
      <c r="F43" s="11" t="s">
        <v>76</v>
      </c>
      <c r="G43" s="11" t="s">
        <v>42</v>
      </c>
      <c r="H43" s="11">
        <v>3332</v>
      </c>
      <c r="I43" s="11">
        <v>2132</v>
      </c>
      <c r="K43" s="8" t="s">
        <v>392</v>
      </c>
      <c r="L43">
        <v>86562</v>
      </c>
      <c r="AA43" s="1">
        <v>43136</v>
      </c>
      <c r="AB43">
        <v>3149</v>
      </c>
    </row>
    <row r="44" spans="1:28" x14ac:dyDescent="0.35">
      <c r="A44" s="11" t="s">
        <v>9</v>
      </c>
      <c r="B44" s="12">
        <v>43143</v>
      </c>
      <c r="C44" s="11" t="s">
        <v>10</v>
      </c>
      <c r="D44" s="11" t="s">
        <v>11</v>
      </c>
      <c r="E44" s="11" t="s">
        <v>12</v>
      </c>
      <c r="F44" s="11" t="s">
        <v>12</v>
      </c>
      <c r="G44" s="11" t="s">
        <v>13</v>
      </c>
      <c r="H44" s="11">
        <v>2283</v>
      </c>
      <c r="I44" s="11">
        <v>1438</v>
      </c>
      <c r="K44" s="13">
        <v>43132</v>
      </c>
      <c r="L44">
        <v>2878</v>
      </c>
      <c r="AA44" s="1">
        <v>43137</v>
      </c>
      <c r="AB44">
        <v>3277</v>
      </c>
    </row>
    <row r="45" spans="1:28" x14ac:dyDescent="0.35">
      <c r="A45" s="11" t="s">
        <v>14</v>
      </c>
      <c r="B45" s="12">
        <v>43144</v>
      </c>
      <c r="C45" s="11" t="s">
        <v>15</v>
      </c>
      <c r="D45" s="11" t="s">
        <v>11</v>
      </c>
      <c r="E45" s="11" t="s">
        <v>12</v>
      </c>
      <c r="F45" s="11" t="s">
        <v>12</v>
      </c>
      <c r="G45" s="11" t="s">
        <v>13</v>
      </c>
      <c r="H45" s="11">
        <v>2696</v>
      </c>
      <c r="I45" s="11">
        <v>1833</v>
      </c>
      <c r="K45" s="13">
        <v>43133</v>
      </c>
      <c r="L45">
        <v>3425</v>
      </c>
      <c r="AA45" s="1">
        <v>43138</v>
      </c>
      <c r="AB45">
        <v>2713</v>
      </c>
    </row>
    <row r="46" spans="1:28" x14ac:dyDescent="0.35">
      <c r="A46" s="11" t="s">
        <v>16</v>
      </c>
      <c r="B46" s="12">
        <v>43145</v>
      </c>
      <c r="C46" s="11" t="s">
        <v>17</v>
      </c>
      <c r="D46" s="11" t="s">
        <v>11</v>
      </c>
      <c r="E46" s="11" t="s">
        <v>12</v>
      </c>
      <c r="F46" s="11" t="s">
        <v>12</v>
      </c>
      <c r="G46" s="11" t="s">
        <v>13</v>
      </c>
      <c r="H46" s="11">
        <v>4061</v>
      </c>
      <c r="I46" s="11">
        <v>3127</v>
      </c>
      <c r="K46" s="13">
        <v>43134</v>
      </c>
      <c r="L46">
        <v>2865</v>
      </c>
      <c r="AA46" s="1">
        <v>43139</v>
      </c>
      <c r="AB46">
        <v>3381</v>
      </c>
    </row>
    <row r="47" spans="1:28" x14ac:dyDescent="0.35">
      <c r="A47" s="11" t="s">
        <v>18</v>
      </c>
      <c r="B47" s="12">
        <v>43146</v>
      </c>
      <c r="C47" s="11" t="s">
        <v>19</v>
      </c>
      <c r="D47" s="11" t="s">
        <v>20</v>
      </c>
      <c r="E47" s="11" t="s">
        <v>21</v>
      </c>
      <c r="F47" s="11" t="s">
        <v>22</v>
      </c>
      <c r="G47" s="11" t="s">
        <v>13</v>
      </c>
      <c r="H47" s="11">
        <v>2382</v>
      </c>
      <c r="I47" s="11">
        <v>1548</v>
      </c>
      <c r="K47" s="13">
        <v>43135</v>
      </c>
      <c r="L47">
        <v>2393</v>
      </c>
      <c r="AA47" s="1">
        <v>43140</v>
      </c>
      <c r="AB47">
        <v>2545</v>
      </c>
    </row>
    <row r="48" spans="1:28" x14ac:dyDescent="0.35">
      <c r="A48" s="11" t="s">
        <v>23</v>
      </c>
      <c r="B48" s="12">
        <v>43147</v>
      </c>
      <c r="C48" s="11" t="s">
        <v>24</v>
      </c>
      <c r="D48" s="11" t="s">
        <v>20</v>
      </c>
      <c r="E48" s="11" t="s">
        <v>21</v>
      </c>
      <c r="F48" s="11" t="s">
        <v>22</v>
      </c>
      <c r="G48" s="11" t="s">
        <v>13</v>
      </c>
      <c r="H48" s="11">
        <v>4336</v>
      </c>
      <c r="I48" s="11">
        <v>2602</v>
      </c>
      <c r="K48" s="13">
        <v>43136</v>
      </c>
      <c r="L48">
        <v>3149</v>
      </c>
      <c r="AA48" s="1">
        <v>43141</v>
      </c>
      <c r="AB48">
        <v>4473</v>
      </c>
    </row>
    <row r="49" spans="1:28" x14ac:dyDescent="0.35">
      <c r="A49" s="11" t="s">
        <v>25</v>
      </c>
      <c r="B49" s="12">
        <v>43148</v>
      </c>
      <c r="C49" s="11" t="s">
        <v>26</v>
      </c>
      <c r="D49" s="11" t="s">
        <v>20</v>
      </c>
      <c r="E49" s="11" t="s">
        <v>21</v>
      </c>
      <c r="F49" s="11" t="s">
        <v>22</v>
      </c>
      <c r="G49" s="11" t="s">
        <v>13</v>
      </c>
      <c r="H49" s="11">
        <v>2602</v>
      </c>
      <c r="I49" s="11">
        <v>2004</v>
      </c>
      <c r="K49" s="13">
        <v>43137</v>
      </c>
      <c r="L49">
        <v>3277</v>
      </c>
      <c r="AA49" s="1">
        <v>43142</v>
      </c>
      <c r="AB49">
        <v>3332</v>
      </c>
    </row>
    <row r="50" spans="1:28" x14ac:dyDescent="0.35">
      <c r="A50" s="11" t="s">
        <v>27</v>
      </c>
      <c r="B50" s="12">
        <v>43149</v>
      </c>
      <c r="C50" s="11" t="s">
        <v>28</v>
      </c>
      <c r="D50" s="11" t="s">
        <v>20</v>
      </c>
      <c r="E50" s="11" t="s">
        <v>21</v>
      </c>
      <c r="F50" s="11" t="s">
        <v>22</v>
      </c>
      <c r="G50" s="11" t="s">
        <v>13</v>
      </c>
      <c r="H50" s="11">
        <v>3094</v>
      </c>
      <c r="I50" s="11">
        <v>2073</v>
      </c>
      <c r="K50" s="13">
        <v>43138</v>
      </c>
      <c r="L50">
        <v>2713</v>
      </c>
      <c r="AA50" s="1">
        <v>43143</v>
      </c>
      <c r="AB50">
        <v>2283</v>
      </c>
    </row>
    <row r="51" spans="1:28" x14ac:dyDescent="0.35">
      <c r="A51" s="11" t="s">
        <v>29</v>
      </c>
      <c r="B51" s="12">
        <v>43150</v>
      </c>
      <c r="C51" s="11" t="s">
        <v>30</v>
      </c>
      <c r="D51" s="11" t="s">
        <v>20</v>
      </c>
      <c r="E51" s="11" t="s">
        <v>21</v>
      </c>
      <c r="F51" s="11" t="s">
        <v>22</v>
      </c>
      <c r="G51" s="11" t="s">
        <v>13</v>
      </c>
      <c r="H51" s="11">
        <v>3510</v>
      </c>
      <c r="I51" s="11">
        <v>2141</v>
      </c>
      <c r="K51" s="13">
        <v>43139</v>
      </c>
      <c r="L51">
        <v>3381</v>
      </c>
      <c r="AA51" s="1">
        <v>43144</v>
      </c>
      <c r="AB51">
        <v>2696</v>
      </c>
    </row>
    <row r="52" spans="1:28" x14ac:dyDescent="0.35">
      <c r="A52" s="11" t="s">
        <v>31</v>
      </c>
      <c r="B52" s="12">
        <v>43151</v>
      </c>
      <c r="C52" s="11" t="s">
        <v>32</v>
      </c>
      <c r="D52" s="11" t="s">
        <v>33</v>
      </c>
      <c r="E52" s="11" t="s">
        <v>34</v>
      </c>
      <c r="F52" s="11" t="s">
        <v>35</v>
      </c>
      <c r="G52" s="11" t="s">
        <v>36</v>
      </c>
      <c r="H52" s="11">
        <v>2134</v>
      </c>
      <c r="I52" s="11">
        <v>1536</v>
      </c>
      <c r="K52" s="13">
        <v>43140</v>
      </c>
      <c r="L52">
        <v>2545</v>
      </c>
      <c r="AA52" s="1">
        <v>43145</v>
      </c>
      <c r="AB52">
        <v>4061</v>
      </c>
    </row>
    <row r="53" spans="1:28" x14ac:dyDescent="0.35">
      <c r="A53" s="11" t="s">
        <v>37</v>
      </c>
      <c r="B53" s="12">
        <v>43152</v>
      </c>
      <c r="C53" s="11" t="s">
        <v>38</v>
      </c>
      <c r="D53" s="11" t="s">
        <v>39</v>
      </c>
      <c r="E53" s="11" t="s">
        <v>40</v>
      </c>
      <c r="F53" s="11" t="s">
        <v>41</v>
      </c>
      <c r="G53" s="11" t="s">
        <v>42</v>
      </c>
      <c r="H53" s="11">
        <v>2661</v>
      </c>
      <c r="I53" s="11">
        <v>2022</v>
      </c>
      <c r="K53" s="13">
        <v>43141</v>
      </c>
      <c r="L53">
        <v>4473</v>
      </c>
      <c r="AA53" s="1">
        <v>43146</v>
      </c>
      <c r="AB53">
        <v>2382</v>
      </c>
    </row>
    <row r="54" spans="1:28" x14ac:dyDescent="0.35">
      <c r="A54" s="11" t="s">
        <v>43</v>
      </c>
      <c r="B54" s="12">
        <v>43153</v>
      </c>
      <c r="C54" s="11" t="s">
        <v>44</v>
      </c>
      <c r="D54" s="11" t="s">
        <v>33</v>
      </c>
      <c r="E54" s="11" t="s">
        <v>45</v>
      </c>
      <c r="F54" s="11" t="s">
        <v>46</v>
      </c>
      <c r="G54" s="11" t="s">
        <v>36</v>
      </c>
      <c r="H54" s="11">
        <v>2901</v>
      </c>
      <c r="I54" s="11">
        <v>1741</v>
      </c>
      <c r="K54" s="13">
        <v>43142</v>
      </c>
      <c r="L54">
        <v>3332</v>
      </c>
      <c r="AA54" s="1">
        <v>43147</v>
      </c>
      <c r="AB54">
        <v>4336</v>
      </c>
    </row>
    <row r="55" spans="1:28" x14ac:dyDescent="0.35">
      <c r="A55" s="11" t="s">
        <v>47</v>
      </c>
      <c r="B55" s="12">
        <v>43154</v>
      </c>
      <c r="C55" s="11" t="s">
        <v>48</v>
      </c>
      <c r="D55" s="11" t="s">
        <v>49</v>
      </c>
      <c r="E55" s="11" t="s">
        <v>50</v>
      </c>
      <c r="F55" s="11" t="s">
        <v>51</v>
      </c>
      <c r="G55" s="11" t="s">
        <v>42</v>
      </c>
      <c r="H55" s="11">
        <v>3784</v>
      </c>
      <c r="I55" s="11">
        <v>2384</v>
      </c>
      <c r="K55" s="13">
        <v>43143</v>
      </c>
      <c r="L55">
        <v>2283</v>
      </c>
      <c r="AA55" s="1">
        <v>43148</v>
      </c>
      <c r="AB55">
        <v>2602</v>
      </c>
    </row>
    <row r="56" spans="1:28" x14ac:dyDescent="0.35">
      <c r="A56" s="11" t="s">
        <v>52</v>
      </c>
      <c r="B56" s="12">
        <v>43155</v>
      </c>
      <c r="C56" s="11" t="s">
        <v>53</v>
      </c>
      <c r="D56" s="11" t="s">
        <v>49</v>
      </c>
      <c r="E56" s="11" t="s">
        <v>54</v>
      </c>
      <c r="F56" s="11" t="s">
        <v>55</v>
      </c>
      <c r="G56" s="11" t="s">
        <v>42</v>
      </c>
      <c r="H56" s="11">
        <v>3135</v>
      </c>
      <c r="I56" s="11">
        <v>2445</v>
      </c>
      <c r="K56" s="13">
        <v>43144</v>
      </c>
      <c r="L56">
        <v>2696</v>
      </c>
      <c r="AA56" s="1">
        <v>43149</v>
      </c>
      <c r="AB56">
        <v>3094</v>
      </c>
    </row>
    <row r="57" spans="1:28" x14ac:dyDescent="0.35">
      <c r="A57" s="11" t="s">
        <v>56</v>
      </c>
      <c r="B57" s="12">
        <v>43156</v>
      </c>
      <c r="C57" s="11" t="s">
        <v>57</v>
      </c>
      <c r="D57" s="11" t="s">
        <v>49</v>
      </c>
      <c r="E57" s="11" t="s">
        <v>54</v>
      </c>
      <c r="F57" s="11" t="s">
        <v>55</v>
      </c>
      <c r="G57" s="11" t="s">
        <v>42</v>
      </c>
      <c r="H57" s="11">
        <v>2802</v>
      </c>
      <c r="I57" s="11">
        <v>1877</v>
      </c>
      <c r="K57" s="13">
        <v>43145</v>
      </c>
      <c r="L57">
        <v>4061</v>
      </c>
      <c r="AA57" s="1">
        <v>43150</v>
      </c>
      <c r="AB57">
        <v>3510</v>
      </c>
    </row>
    <row r="58" spans="1:28" x14ac:dyDescent="0.35">
      <c r="A58" s="11" t="s">
        <v>58</v>
      </c>
      <c r="B58" s="12">
        <v>43157</v>
      </c>
      <c r="C58" s="11" t="s">
        <v>59</v>
      </c>
      <c r="D58" s="11" t="s">
        <v>60</v>
      </c>
      <c r="E58" s="11" t="s">
        <v>61</v>
      </c>
      <c r="F58" s="11" t="s">
        <v>62</v>
      </c>
      <c r="G58" s="11" t="s">
        <v>13</v>
      </c>
      <c r="H58" s="11">
        <v>3486</v>
      </c>
      <c r="I58" s="11">
        <v>2789</v>
      </c>
      <c r="K58" s="13">
        <v>43146</v>
      </c>
      <c r="L58">
        <v>2382</v>
      </c>
      <c r="AA58" s="1">
        <v>43151</v>
      </c>
      <c r="AB58">
        <v>2134</v>
      </c>
    </row>
    <row r="59" spans="1:28" x14ac:dyDescent="0.35">
      <c r="A59" s="11" t="s">
        <v>63</v>
      </c>
      <c r="B59" s="12">
        <v>43158</v>
      </c>
      <c r="C59" s="11" t="s">
        <v>64</v>
      </c>
      <c r="D59" s="11" t="s">
        <v>20</v>
      </c>
      <c r="E59" s="11" t="s">
        <v>65</v>
      </c>
      <c r="F59" s="11" t="s">
        <v>66</v>
      </c>
      <c r="G59" s="11" t="s">
        <v>13</v>
      </c>
      <c r="H59" s="11">
        <v>3422</v>
      </c>
      <c r="I59" s="11">
        <v>2122</v>
      </c>
      <c r="K59" s="13">
        <v>43147</v>
      </c>
      <c r="L59">
        <v>4336</v>
      </c>
      <c r="AA59" s="1">
        <v>43152</v>
      </c>
      <c r="AB59">
        <v>2661</v>
      </c>
    </row>
    <row r="60" spans="1:28" x14ac:dyDescent="0.35">
      <c r="A60" s="11" t="s">
        <v>67</v>
      </c>
      <c r="B60" s="12">
        <v>43159</v>
      </c>
      <c r="C60" s="11" t="s">
        <v>68</v>
      </c>
      <c r="D60" s="11" t="s">
        <v>69</v>
      </c>
      <c r="E60" s="11" t="s">
        <v>70</v>
      </c>
      <c r="F60" s="11" t="s">
        <v>71</v>
      </c>
      <c r="G60" s="11" t="s">
        <v>13</v>
      </c>
      <c r="H60" s="11">
        <v>2842</v>
      </c>
      <c r="I60" s="11">
        <v>2188</v>
      </c>
      <c r="K60" s="13">
        <v>43148</v>
      </c>
      <c r="L60">
        <v>2602</v>
      </c>
      <c r="AA60" s="1">
        <v>43153</v>
      </c>
      <c r="AB60">
        <v>2901</v>
      </c>
    </row>
    <row r="61" spans="1:28" x14ac:dyDescent="0.35">
      <c r="A61" s="11" t="s">
        <v>72</v>
      </c>
      <c r="B61" s="12">
        <v>43160</v>
      </c>
      <c r="C61" s="11" t="s">
        <v>73</v>
      </c>
      <c r="D61" s="11" t="s">
        <v>69</v>
      </c>
      <c r="E61" s="11" t="s">
        <v>70</v>
      </c>
      <c r="F61" s="11" t="s">
        <v>71</v>
      </c>
      <c r="G61" s="11" t="s">
        <v>13</v>
      </c>
      <c r="H61" s="11">
        <v>3846</v>
      </c>
      <c r="I61" s="11">
        <v>2500</v>
      </c>
      <c r="K61" s="13">
        <v>43149</v>
      </c>
      <c r="L61">
        <v>3094</v>
      </c>
      <c r="AA61" s="1">
        <v>43154</v>
      </c>
      <c r="AB61">
        <v>3784</v>
      </c>
    </row>
    <row r="62" spans="1:28" x14ac:dyDescent="0.35">
      <c r="A62" s="11" t="s">
        <v>74</v>
      </c>
      <c r="B62" s="12">
        <v>43161</v>
      </c>
      <c r="C62" s="11" t="s">
        <v>75</v>
      </c>
      <c r="D62" s="11" t="s">
        <v>49</v>
      </c>
      <c r="E62" s="11" t="s">
        <v>50</v>
      </c>
      <c r="F62" s="11" t="s">
        <v>76</v>
      </c>
      <c r="G62" s="11" t="s">
        <v>42</v>
      </c>
      <c r="H62" s="11">
        <v>3131</v>
      </c>
      <c r="I62" s="11">
        <v>2380</v>
      </c>
      <c r="K62" s="13">
        <v>43150</v>
      </c>
      <c r="L62">
        <v>3510</v>
      </c>
      <c r="AA62" s="1">
        <v>43155</v>
      </c>
      <c r="AB62">
        <v>3135</v>
      </c>
    </row>
    <row r="63" spans="1:28" x14ac:dyDescent="0.35">
      <c r="A63" s="11" t="s">
        <v>77</v>
      </c>
      <c r="B63" s="12">
        <v>43162</v>
      </c>
      <c r="C63" s="11" t="s">
        <v>78</v>
      </c>
      <c r="D63" s="11" t="s">
        <v>49</v>
      </c>
      <c r="E63" s="11" t="s">
        <v>50</v>
      </c>
      <c r="F63" s="11" t="s">
        <v>76</v>
      </c>
      <c r="G63" s="11" t="s">
        <v>42</v>
      </c>
      <c r="H63" s="11">
        <v>3825</v>
      </c>
      <c r="I63" s="11">
        <v>2333</v>
      </c>
      <c r="K63" s="13">
        <v>43151</v>
      </c>
      <c r="L63">
        <v>2134</v>
      </c>
      <c r="AA63" s="1">
        <v>43156</v>
      </c>
      <c r="AB63">
        <v>2802</v>
      </c>
    </row>
    <row r="64" spans="1:28" x14ac:dyDescent="0.35">
      <c r="A64" s="11" t="s">
        <v>79</v>
      </c>
      <c r="B64" s="12">
        <v>43163</v>
      </c>
      <c r="C64" s="11" t="s">
        <v>80</v>
      </c>
      <c r="D64" s="11" t="s">
        <v>49</v>
      </c>
      <c r="E64" s="11" t="s">
        <v>50</v>
      </c>
      <c r="F64" s="11" t="s">
        <v>76</v>
      </c>
      <c r="G64" s="11" t="s">
        <v>42</v>
      </c>
      <c r="H64" s="11">
        <v>4362</v>
      </c>
      <c r="I64" s="11">
        <v>3446</v>
      </c>
      <c r="K64" s="13">
        <v>43152</v>
      </c>
      <c r="L64">
        <v>2661</v>
      </c>
      <c r="AA64" s="1">
        <v>43157</v>
      </c>
      <c r="AB64">
        <v>3486</v>
      </c>
    </row>
    <row r="65" spans="1:28" x14ac:dyDescent="0.35">
      <c r="A65" s="11" t="s">
        <v>89</v>
      </c>
      <c r="B65" s="12">
        <v>43164</v>
      </c>
      <c r="C65" s="11" t="s">
        <v>10</v>
      </c>
      <c r="D65" s="11" t="s">
        <v>11</v>
      </c>
      <c r="E65" s="11" t="s">
        <v>12</v>
      </c>
      <c r="F65" s="11" t="s">
        <v>12</v>
      </c>
      <c r="G65" s="11" t="s">
        <v>13</v>
      </c>
      <c r="H65" s="11">
        <v>2934</v>
      </c>
      <c r="I65" s="11">
        <v>1819</v>
      </c>
      <c r="K65" s="13">
        <v>43153</v>
      </c>
      <c r="L65">
        <v>2901</v>
      </c>
      <c r="AA65" s="1">
        <v>43158</v>
      </c>
      <c r="AB65">
        <v>3422</v>
      </c>
    </row>
    <row r="66" spans="1:28" x14ac:dyDescent="0.35">
      <c r="A66" s="11" t="s">
        <v>90</v>
      </c>
      <c r="B66" s="12">
        <v>43165</v>
      </c>
      <c r="C66" s="11" t="s">
        <v>15</v>
      </c>
      <c r="D66" s="11" t="s">
        <v>11</v>
      </c>
      <c r="E66" s="11" t="s">
        <v>12</v>
      </c>
      <c r="F66" s="11" t="s">
        <v>12</v>
      </c>
      <c r="G66" s="11" t="s">
        <v>13</v>
      </c>
      <c r="H66" s="11">
        <v>4354</v>
      </c>
      <c r="I66" s="11">
        <v>2787</v>
      </c>
      <c r="K66" s="13">
        <v>43154</v>
      </c>
      <c r="L66">
        <v>3784</v>
      </c>
      <c r="AA66" s="1">
        <v>43159</v>
      </c>
      <c r="AB66">
        <v>2842</v>
      </c>
    </row>
    <row r="67" spans="1:28" x14ac:dyDescent="0.35">
      <c r="A67" s="11" t="s">
        <v>91</v>
      </c>
      <c r="B67" s="12">
        <v>43166</v>
      </c>
      <c r="C67" s="11" t="s">
        <v>17</v>
      </c>
      <c r="D67" s="11" t="s">
        <v>11</v>
      </c>
      <c r="E67" s="11" t="s">
        <v>12</v>
      </c>
      <c r="F67" s="11" t="s">
        <v>12</v>
      </c>
      <c r="G67" s="11" t="s">
        <v>13</v>
      </c>
      <c r="H67" s="11">
        <v>2102</v>
      </c>
      <c r="I67" s="11">
        <v>1534</v>
      </c>
      <c r="K67" s="13">
        <v>43155</v>
      </c>
      <c r="L67">
        <v>3135</v>
      </c>
      <c r="Z67" t="s">
        <v>412</v>
      </c>
      <c r="AB67">
        <v>86562</v>
      </c>
    </row>
    <row r="68" spans="1:28" x14ac:dyDescent="0.35">
      <c r="A68" s="11" t="s">
        <v>92</v>
      </c>
      <c r="B68" s="12">
        <v>43167</v>
      </c>
      <c r="C68" s="11" t="s">
        <v>19</v>
      </c>
      <c r="D68" s="11" t="s">
        <v>20</v>
      </c>
      <c r="E68" s="11" t="s">
        <v>21</v>
      </c>
      <c r="F68" s="11" t="s">
        <v>22</v>
      </c>
      <c r="G68" s="11" t="s">
        <v>13</v>
      </c>
      <c r="H68" s="11">
        <v>3261</v>
      </c>
      <c r="I68" s="11">
        <v>2446</v>
      </c>
      <c r="K68" s="13">
        <v>43156</v>
      </c>
      <c r="L68">
        <v>2802</v>
      </c>
      <c r="Z68" t="s">
        <v>393</v>
      </c>
      <c r="AA68" s="1">
        <v>43160</v>
      </c>
      <c r="AB68">
        <v>3846</v>
      </c>
    </row>
    <row r="69" spans="1:28" x14ac:dyDescent="0.35">
      <c r="A69" s="11" t="s">
        <v>93</v>
      </c>
      <c r="B69" s="12">
        <v>43168</v>
      </c>
      <c r="C69" s="11" t="s">
        <v>24</v>
      </c>
      <c r="D69" s="11" t="s">
        <v>20</v>
      </c>
      <c r="E69" s="11" t="s">
        <v>21</v>
      </c>
      <c r="F69" s="11" t="s">
        <v>22</v>
      </c>
      <c r="G69" s="11" t="s">
        <v>13</v>
      </c>
      <c r="H69" s="11">
        <v>2577</v>
      </c>
      <c r="I69" s="11">
        <v>1907</v>
      </c>
      <c r="K69" s="13">
        <v>43157</v>
      </c>
      <c r="L69">
        <v>3486</v>
      </c>
      <c r="AA69" s="1">
        <v>43161</v>
      </c>
      <c r="AB69">
        <v>3131</v>
      </c>
    </row>
    <row r="70" spans="1:28" x14ac:dyDescent="0.35">
      <c r="A70" s="11" t="s">
        <v>94</v>
      </c>
      <c r="B70" s="12">
        <v>43169</v>
      </c>
      <c r="C70" s="11" t="s">
        <v>26</v>
      </c>
      <c r="D70" s="11" t="s">
        <v>20</v>
      </c>
      <c r="E70" s="11" t="s">
        <v>21</v>
      </c>
      <c r="F70" s="11" t="s">
        <v>22</v>
      </c>
      <c r="G70" s="11" t="s">
        <v>13</v>
      </c>
      <c r="H70" s="11">
        <v>3131</v>
      </c>
      <c r="I70" s="11">
        <v>1973</v>
      </c>
      <c r="K70" s="13">
        <v>43158</v>
      </c>
      <c r="L70">
        <v>3422</v>
      </c>
      <c r="AA70" s="1">
        <v>43162</v>
      </c>
      <c r="AB70">
        <v>3825</v>
      </c>
    </row>
    <row r="71" spans="1:28" x14ac:dyDescent="0.35">
      <c r="A71" s="11" t="s">
        <v>95</v>
      </c>
      <c r="B71" s="12">
        <v>43170</v>
      </c>
      <c r="C71" s="11" t="s">
        <v>28</v>
      </c>
      <c r="D71" s="11" t="s">
        <v>20</v>
      </c>
      <c r="E71" s="11" t="s">
        <v>21</v>
      </c>
      <c r="F71" s="11" t="s">
        <v>22</v>
      </c>
      <c r="G71" s="11" t="s">
        <v>13</v>
      </c>
      <c r="H71" s="11">
        <v>2683</v>
      </c>
      <c r="I71" s="11">
        <v>1798</v>
      </c>
      <c r="K71" s="13">
        <v>43159</v>
      </c>
      <c r="L71">
        <v>2842</v>
      </c>
      <c r="AA71" s="1">
        <v>43163</v>
      </c>
      <c r="AB71">
        <v>4362</v>
      </c>
    </row>
    <row r="72" spans="1:28" x14ac:dyDescent="0.35">
      <c r="A72" s="11" t="s">
        <v>96</v>
      </c>
      <c r="B72" s="12">
        <v>43171</v>
      </c>
      <c r="C72" s="11" t="s">
        <v>30</v>
      </c>
      <c r="D72" s="11" t="s">
        <v>20</v>
      </c>
      <c r="E72" s="11" t="s">
        <v>21</v>
      </c>
      <c r="F72" s="11" t="s">
        <v>22</v>
      </c>
      <c r="G72" s="11" t="s">
        <v>13</v>
      </c>
      <c r="H72" s="11">
        <v>2613</v>
      </c>
      <c r="I72" s="11">
        <v>1751</v>
      </c>
      <c r="K72" s="8" t="s">
        <v>393</v>
      </c>
      <c r="L72">
        <v>101092</v>
      </c>
      <c r="AA72" s="1">
        <v>43164</v>
      </c>
      <c r="AB72">
        <v>2934</v>
      </c>
    </row>
    <row r="73" spans="1:28" x14ac:dyDescent="0.35">
      <c r="A73" s="11" t="s">
        <v>97</v>
      </c>
      <c r="B73" s="12">
        <v>43172</v>
      </c>
      <c r="C73" s="11" t="s">
        <v>32</v>
      </c>
      <c r="D73" s="11" t="s">
        <v>33</v>
      </c>
      <c r="E73" s="11" t="s">
        <v>34</v>
      </c>
      <c r="F73" s="11" t="s">
        <v>35</v>
      </c>
      <c r="G73" s="11" t="s">
        <v>36</v>
      </c>
      <c r="H73" s="11">
        <v>4076</v>
      </c>
      <c r="I73" s="11">
        <v>2609</v>
      </c>
      <c r="K73" s="13">
        <v>43160</v>
      </c>
      <c r="L73">
        <v>3846</v>
      </c>
      <c r="AA73" s="1">
        <v>43165</v>
      </c>
      <c r="AB73">
        <v>4354</v>
      </c>
    </row>
    <row r="74" spans="1:28" x14ac:dyDescent="0.35">
      <c r="A74" s="11" t="s">
        <v>98</v>
      </c>
      <c r="B74" s="12">
        <v>43173</v>
      </c>
      <c r="C74" s="11" t="s">
        <v>38</v>
      </c>
      <c r="D74" s="11" t="s">
        <v>39</v>
      </c>
      <c r="E74" s="11" t="s">
        <v>40</v>
      </c>
      <c r="F74" s="11" t="s">
        <v>41</v>
      </c>
      <c r="G74" s="11" t="s">
        <v>42</v>
      </c>
      <c r="H74" s="11">
        <v>4400</v>
      </c>
      <c r="I74" s="11">
        <v>3432</v>
      </c>
      <c r="K74" s="13">
        <v>43161</v>
      </c>
      <c r="L74">
        <v>3131</v>
      </c>
      <c r="AA74" s="1">
        <v>43166</v>
      </c>
      <c r="AB74">
        <v>2102</v>
      </c>
    </row>
    <row r="75" spans="1:28" x14ac:dyDescent="0.35">
      <c r="A75" s="11" t="s">
        <v>99</v>
      </c>
      <c r="B75" s="12">
        <v>43174</v>
      </c>
      <c r="C75" s="11" t="s">
        <v>44</v>
      </c>
      <c r="D75" s="11" t="s">
        <v>33</v>
      </c>
      <c r="E75" s="11" t="s">
        <v>45</v>
      </c>
      <c r="F75" s="11" t="s">
        <v>46</v>
      </c>
      <c r="G75" s="11" t="s">
        <v>36</v>
      </c>
      <c r="H75" s="11">
        <v>2466</v>
      </c>
      <c r="I75" s="11">
        <v>1603</v>
      </c>
      <c r="K75" s="13">
        <v>43162</v>
      </c>
      <c r="L75">
        <v>3825</v>
      </c>
      <c r="AA75" s="1">
        <v>43167</v>
      </c>
      <c r="AB75">
        <v>3261</v>
      </c>
    </row>
    <row r="76" spans="1:28" x14ac:dyDescent="0.35">
      <c r="A76" s="11" t="s">
        <v>100</v>
      </c>
      <c r="B76" s="12">
        <v>43175</v>
      </c>
      <c r="C76" s="11" t="s">
        <v>48</v>
      </c>
      <c r="D76" s="11" t="s">
        <v>49</v>
      </c>
      <c r="E76" s="11" t="s">
        <v>50</v>
      </c>
      <c r="F76" s="11" t="s">
        <v>51</v>
      </c>
      <c r="G76" s="11" t="s">
        <v>42</v>
      </c>
      <c r="H76" s="11">
        <v>2137</v>
      </c>
      <c r="I76" s="11">
        <v>1325</v>
      </c>
      <c r="K76" s="13">
        <v>43163</v>
      </c>
      <c r="L76">
        <v>4362</v>
      </c>
      <c r="AA76" s="1">
        <v>43168</v>
      </c>
      <c r="AB76">
        <v>2577</v>
      </c>
    </row>
    <row r="77" spans="1:28" x14ac:dyDescent="0.35">
      <c r="A77" s="11" t="s">
        <v>101</v>
      </c>
      <c r="B77" s="12">
        <v>43176</v>
      </c>
      <c r="C77" s="11" t="s">
        <v>53</v>
      </c>
      <c r="D77" s="11" t="s">
        <v>49</v>
      </c>
      <c r="E77" s="11" t="s">
        <v>54</v>
      </c>
      <c r="F77" s="11" t="s">
        <v>55</v>
      </c>
      <c r="G77" s="11" t="s">
        <v>42</v>
      </c>
      <c r="H77" s="11">
        <v>4216</v>
      </c>
      <c r="I77" s="11">
        <v>3162</v>
      </c>
      <c r="K77" s="13">
        <v>43164</v>
      </c>
      <c r="L77">
        <v>2934</v>
      </c>
      <c r="AA77" s="1">
        <v>43169</v>
      </c>
      <c r="AB77">
        <v>3131</v>
      </c>
    </row>
    <row r="78" spans="1:28" x14ac:dyDescent="0.35">
      <c r="A78" s="11" t="s">
        <v>102</v>
      </c>
      <c r="B78" s="12">
        <v>43177</v>
      </c>
      <c r="C78" s="11" t="s">
        <v>57</v>
      </c>
      <c r="D78" s="11" t="s">
        <v>49</v>
      </c>
      <c r="E78" s="11" t="s">
        <v>54</v>
      </c>
      <c r="F78" s="11" t="s">
        <v>55</v>
      </c>
      <c r="G78" s="11" t="s">
        <v>42</v>
      </c>
      <c r="H78" s="11">
        <v>3165</v>
      </c>
      <c r="I78" s="11">
        <v>2310</v>
      </c>
      <c r="K78" s="13">
        <v>43165</v>
      </c>
      <c r="L78">
        <v>4354</v>
      </c>
      <c r="AA78" s="1">
        <v>43170</v>
      </c>
      <c r="AB78">
        <v>2683</v>
      </c>
    </row>
    <row r="79" spans="1:28" x14ac:dyDescent="0.35">
      <c r="A79" s="11" t="s">
        <v>103</v>
      </c>
      <c r="B79" s="12">
        <v>43178</v>
      </c>
      <c r="C79" s="11" t="s">
        <v>59</v>
      </c>
      <c r="D79" s="11" t="s">
        <v>60</v>
      </c>
      <c r="E79" s="11" t="s">
        <v>61</v>
      </c>
      <c r="F79" s="11" t="s">
        <v>62</v>
      </c>
      <c r="G79" s="11" t="s">
        <v>13</v>
      </c>
      <c r="H79" s="11">
        <v>3263</v>
      </c>
      <c r="I79" s="11">
        <v>2545</v>
      </c>
      <c r="K79" s="13">
        <v>43166</v>
      </c>
      <c r="L79">
        <v>2102</v>
      </c>
      <c r="AA79" s="1">
        <v>43171</v>
      </c>
      <c r="AB79">
        <v>2613</v>
      </c>
    </row>
    <row r="80" spans="1:28" x14ac:dyDescent="0.35">
      <c r="A80" s="11" t="s">
        <v>104</v>
      </c>
      <c r="B80" s="12">
        <v>43179</v>
      </c>
      <c r="C80" s="11" t="s">
        <v>64</v>
      </c>
      <c r="D80" s="11" t="s">
        <v>20</v>
      </c>
      <c r="E80" s="11" t="s">
        <v>65</v>
      </c>
      <c r="F80" s="11" t="s">
        <v>66</v>
      </c>
      <c r="G80" s="11" t="s">
        <v>13</v>
      </c>
      <c r="H80" s="11">
        <v>2946</v>
      </c>
      <c r="I80" s="11">
        <v>2210</v>
      </c>
      <c r="K80" s="13">
        <v>43167</v>
      </c>
      <c r="L80">
        <v>3261</v>
      </c>
      <c r="AA80" s="1">
        <v>43172</v>
      </c>
      <c r="AB80">
        <v>4076</v>
      </c>
    </row>
    <row r="81" spans="1:28" x14ac:dyDescent="0.35">
      <c r="A81" s="11" t="s">
        <v>105</v>
      </c>
      <c r="B81" s="12">
        <v>43180</v>
      </c>
      <c r="C81" s="11" t="s">
        <v>68</v>
      </c>
      <c r="D81" s="11" t="s">
        <v>69</v>
      </c>
      <c r="E81" s="11" t="s">
        <v>70</v>
      </c>
      <c r="F81" s="11" t="s">
        <v>71</v>
      </c>
      <c r="G81" s="11" t="s">
        <v>13</v>
      </c>
      <c r="H81" s="11">
        <v>2989</v>
      </c>
      <c r="I81" s="11">
        <v>2212</v>
      </c>
      <c r="K81" s="13">
        <v>43168</v>
      </c>
      <c r="L81">
        <v>2577</v>
      </c>
      <c r="AA81" s="1">
        <v>43173</v>
      </c>
      <c r="AB81">
        <v>4400</v>
      </c>
    </row>
    <row r="82" spans="1:28" x14ac:dyDescent="0.35">
      <c r="A82" s="11" t="s">
        <v>106</v>
      </c>
      <c r="B82" s="12">
        <v>43181</v>
      </c>
      <c r="C82" s="11" t="s">
        <v>73</v>
      </c>
      <c r="D82" s="11" t="s">
        <v>69</v>
      </c>
      <c r="E82" s="11" t="s">
        <v>70</v>
      </c>
      <c r="F82" s="11" t="s">
        <v>71</v>
      </c>
      <c r="G82" s="11" t="s">
        <v>13</v>
      </c>
      <c r="H82" s="11">
        <v>3463</v>
      </c>
      <c r="I82" s="11">
        <v>2770</v>
      </c>
      <c r="K82" s="13">
        <v>43169</v>
      </c>
      <c r="L82">
        <v>3131</v>
      </c>
      <c r="AA82" s="1">
        <v>43174</v>
      </c>
      <c r="AB82">
        <v>2466</v>
      </c>
    </row>
    <row r="83" spans="1:28" x14ac:dyDescent="0.35">
      <c r="A83" s="11" t="s">
        <v>107</v>
      </c>
      <c r="B83" s="12">
        <v>43182</v>
      </c>
      <c r="C83" s="11" t="s">
        <v>75</v>
      </c>
      <c r="D83" s="11" t="s">
        <v>49</v>
      </c>
      <c r="E83" s="11" t="s">
        <v>50</v>
      </c>
      <c r="F83" s="11" t="s">
        <v>76</v>
      </c>
      <c r="G83" s="11" t="s">
        <v>42</v>
      </c>
      <c r="H83" s="11">
        <v>2677</v>
      </c>
      <c r="I83" s="11">
        <v>2088</v>
      </c>
      <c r="K83" s="13">
        <v>43170</v>
      </c>
      <c r="L83">
        <v>2683</v>
      </c>
      <c r="AA83" s="1">
        <v>43175</v>
      </c>
      <c r="AB83">
        <v>2137</v>
      </c>
    </row>
    <row r="84" spans="1:28" x14ac:dyDescent="0.35">
      <c r="A84" s="11" t="s">
        <v>108</v>
      </c>
      <c r="B84" s="12">
        <v>43183</v>
      </c>
      <c r="C84" s="11" t="s">
        <v>78</v>
      </c>
      <c r="D84" s="11" t="s">
        <v>49</v>
      </c>
      <c r="E84" s="11" t="s">
        <v>50</v>
      </c>
      <c r="F84" s="11" t="s">
        <v>76</v>
      </c>
      <c r="G84" s="11" t="s">
        <v>42</v>
      </c>
      <c r="H84" s="11">
        <v>2966</v>
      </c>
      <c r="I84" s="11">
        <v>1928</v>
      </c>
      <c r="K84" s="13">
        <v>43171</v>
      </c>
      <c r="L84">
        <v>2613</v>
      </c>
      <c r="AA84" s="1">
        <v>43176</v>
      </c>
      <c r="AB84">
        <v>4216</v>
      </c>
    </row>
    <row r="85" spans="1:28" x14ac:dyDescent="0.35">
      <c r="A85" s="11" t="s">
        <v>109</v>
      </c>
      <c r="B85" s="12">
        <v>43184</v>
      </c>
      <c r="C85" s="11" t="s">
        <v>80</v>
      </c>
      <c r="D85" s="11" t="s">
        <v>49</v>
      </c>
      <c r="E85" s="11" t="s">
        <v>50</v>
      </c>
      <c r="F85" s="11" t="s">
        <v>76</v>
      </c>
      <c r="G85" s="11" t="s">
        <v>42</v>
      </c>
      <c r="H85" s="11">
        <v>2106</v>
      </c>
      <c r="I85" s="11">
        <v>1516</v>
      </c>
      <c r="K85" s="13">
        <v>43172</v>
      </c>
      <c r="L85">
        <v>4076</v>
      </c>
      <c r="AA85" s="1">
        <v>43177</v>
      </c>
      <c r="AB85">
        <v>3165</v>
      </c>
    </row>
    <row r="86" spans="1:28" x14ac:dyDescent="0.35">
      <c r="A86" s="11" t="s">
        <v>110</v>
      </c>
      <c r="B86" s="12">
        <v>43185</v>
      </c>
      <c r="C86" s="11" t="s">
        <v>10</v>
      </c>
      <c r="D86" s="11" t="s">
        <v>11</v>
      </c>
      <c r="E86" s="11" t="s">
        <v>12</v>
      </c>
      <c r="F86" s="11" t="s">
        <v>12</v>
      </c>
      <c r="G86" s="11" t="s">
        <v>13</v>
      </c>
      <c r="H86" s="11">
        <v>3664</v>
      </c>
      <c r="I86" s="11">
        <v>2272</v>
      </c>
      <c r="K86" s="13">
        <v>43173</v>
      </c>
      <c r="L86">
        <v>4400</v>
      </c>
      <c r="AA86" s="1">
        <v>43178</v>
      </c>
      <c r="AB86">
        <v>3263</v>
      </c>
    </row>
    <row r="87" spans="1:28" x14ac:dyDescent="0.35">
      <c r="A87" s="11" t="s">
        <v>111</v>
      </c>
      <c r="B87" s="12">
        <v>43186</v>
      </c>
      <c r="C87" s="11" t="s">
        <v>15</v>
      </c>
      <c r="D87" s="11" t="s">
        <v>11</v>
      </c>
      <c r="E87" s="11" t="s">
        <v>12</v>
      </c>
      <c r="F87" s="11" t="s">
        <v>12</v>
      </c>
      <c r="G87" s="11" t="s">
        <v>13</v>
      </c>
      <c r="H87" s="11">
        <v>3069</v>
      </c>
      <c r="I87" s="11">
        <v>2240</v>
      </c>
      <c r="K87" s="13">
        <v>43174</v>
      </c>
      <c r="L87">
        <v>2466</v>
      </c>
      <c r="AA87" s="1">
        <v>43179</v>
      </c>
      <c r="AB87">
        <v>2946</v>
      </c>
    </row>
    <row r="88" spans="1:28" x14ac:dyDescent="0.35">
      <c r="A88" s="11" t="s">
        <v>112</v>
      </c>
      <c r="B88" s="12">
        <v>43187</v>
      </c>
      <c r="C88" s="11" t="s">
        <v>17</v>
      </c>
      <c r="D88" s="11" t="s">
        <v>11</v>
      </c>
      <c r="E88" s="11" t="s">
        <v>12</v>
      </c>
      <c r="F88" s="11" t="s">
        <v>12</v>
      </c>
      <c r="G88" s="11" t="s">
        <v>13</v>
      </c>
      <c r="H88" s="11">
        <v>3755</v>
      </c>
      <c r="I88" s="11">
        <v>2516</v>
      </c>
      <c r="K88" s="13">
        <v>43175</v>
      </c>
      <c r="L88">
        <v>2137</v>
      </c>
      <c r="AA88" s="1">
        <v>43180</v>
      </c>
      <c r="AB88">
        <v>2989</v>
      </c>
    </row>
    <row r="89" spans="1:28" x14ac:dyDescent="0.35">
      <c r="A89" s="11" t="s">
        <v>113</v>
      </c>
      <c r="B89" s="12">
        <v>43188</v>
      </c>
      <c r="C89" s="11" t="s">
        <v>19</v>
      </c>
      <c r="D89" s="11" t="s">
        <v>20</v>
      </c>
      <c r="E89" s="11" t="s">
        <v>21</v>
      </c>
      <c r="F89" s="11" t="s">
        <v>22</v>
      </c>
      <c r="G89" s="11" t="s">
        <v>13</v>
      </c>
      <c r="H89" s="11">
        <v>3215</v>
      </c>
      <c r="I89" s="11">
        <v>2058</v>
      </c>
      <c r="K89" s="13">
        <v>43176</v>
      </c>
      <c r="L89">
        <v>4216</v>
      </c>
      <c r="AA89" s="1">
        <v>43181</v>
      </c>
      <c r="AB89">
        <v>3463</v>
      </c>
    </row>
    <row r="90" spans="1:28" x14ac:dyDescent="0.35">
      <c r="A90" s="11" t="s">
        <v>114</v>
      </c>
      <c r="B90" s="12">
        <v>43189</v>
      </c>
      <c r="C90" s="11" t="s">
        <v>24</v>
      </c>
      <c r="D90" s="11" t="s">
        <v>20</v>
      </c>
      <c r="E90" s="11" t="s">
        <v>21</v>
      </c>
      <c r="F90" s="11" t="s">
        <v>22</v>
      </c>
      <c r="G90" s="11" t="s">
        <v>13</v>
      </c>
      <c r="H90" s="11">
        <v>3685</v>
      </c>
      <c r="I90" s="11">
        <v>2543</v>
      </c>
      <c r="K90" s="13">
        <v>43177</v>
      </c>
      <c r="L90">
        <v>3165</v>
      </c>
      <c r="AA90" s="1">
        <v>43182</v>
      </c>
      <c r="AB90">
        <v>2677</v>
      </c>
    </row>
    <row r="91" spans="1:28" x14ac:dyDescent="0.35">
      <c r="A91" s="11" t="s">
        <v>115</v>
      </c>
      <c r="B91" s="12">
        <v>43190</v>
      </c>
      <c r="C91" s="11" t="s">
        <v>26</v>
      </c>
      <c r="D91" s="11" t="s">
        <v>20</v>
      </c>
      <c r="E91" s="11" t="s">
        <v>21</v>
      </c>
      <c r="F91" s="11" t="s">
        <v>22</v>
      </c>
      <c r="G91" s="11" t="s">
        <v>13</v>
      </c>
      <c r="H91" s="11">
        <v>4015</v>
      </c>
      <c r="I91" s="11">
        <v>2730</v>
      </c>
      <c r="K91" s="13">
        <v>43178</v>
      </c>
      <c r="L91">
        <v>3263</v>
      </c>
      <c r="AA91" s="1">
        <v>43183</v>
      </c>
      <c r="AB91">
        <v>2966</v>
      </c>
    </row>
    <row r="92" spans="1:28" x14ac:dyDescent="0.35">
      <c r="A92" s="11" t="s">
        <v>116</v>
      </c>
      <c r="B92" s="12">
        <v>43191</v>
      </c>
      <c r="C92" s="11" t="s">
        <v>28</v>
      </c>
      <c r="D92" s="11" t="s">
        <v>20</v>
      </c>
      <c r="E92" s="11" t="s">
        <v>21</v>
      </c>
      <c r="F92" s="11" t="s">
        <v>22</v>
      </c>
      <c r="G92" s="11" t="s">
        <v>13</v>
      </c>
      <c r="H92" s="11">
        <v>2517</v>
      </c>
      <c r="I92" s="11">
        <v>1661</v>
      </c>
      <c r="K92" s="13">
        <v>43179</v>
      </c>
      <c r="L92">
        <v>2946</v>
      </c>
      <c r="AA92" s="1">
        <v>43184</v>
      </c>
      <c r="AB92">
        <v>2106</v>
      </c>
    </row>
    <row r="93" spans="1:28" x14ac:dyDescent="0.35">
      <c r="A93" s="11" t="s">
        <v>117</v>
      </c>
      <c r="B93" s="12">
        <v>43192</v>
      </c>
      <c r="C93" s="11" t="s">
        <v>30</v>
      </c>
      <c r="D93" s="11" t="s">
        <v>20</v>
      </c>
      <c r="E93" s="11" t="s">
        <v>21</v>
      </c>
      <c r="F93" s="11" t="s">
        <v>22</v>
      </c>
      <c r="G93" s="11" t="s">
        <v>13</v>
      </c>
      <c r="H93" s="11">
        <v>2598</v>
      </c>
      <c r="I93" s="11">
        <v>1793</v>
      </c>
      <c r="K93" s="13">
        <v>43180</v>
      </c>
      <c r="L93">
        <v>2989</v>
      </c>
      <c r="AA93" s="1">
        <v>43185</v>
      </c>
      <c r="AB93">
        <v>3664</v>
      </c>
    </row>
    <row r="94" spans="1:28" x14ac:dyDescent="0.35">
      <c r="A94" s="11" t="s">
        <v>118</v>
      </c>
      <c r="B94" s="12">
        <v>43193</v>
      </c>
      <c r="C94" s="11" t="s">
        <v>32</v>
      </c>
      <c r="D94" s="11" t="s">
        <v>33</v>
      </c>
      <c r="E94" s="11" t="s">
        <v>34</v>
      </c>
      <c r="F94" s="11" t="s">
        <v>35</v>
      </c>
      <c r="G94" s="11" t="s">
        <v>36</v>
      </c>
      <c r="H94" s="11">
        <v>3513</v>
      </c>
      <c r="I94" s="11">
        <v>2740</v>
      </c>
      <c r="K94" s="13">
        <v>43181</v>
      </c>
      <c r="L94">
        <v>3463</v>
      </c>
      <c r="AA94" s="1">
        <v>43186</v>
      </c>
      <c r="AB94">
        <v>3069</v>
      </c>
    </row>
    <row r="95" spans="1:28" x14ac:dyDescent="0.35">
      <c r="A95" s="11" t="s">
        <v>119</v>
      </c>
      <c r="B95" s="12">
        <v>43194</v>
      </c>
      <c r="C95" s="11" t="s">
        <v>38</v>
      </c>
      <c r="D95" s="11" t="s">
        <v>39</v>
      </c>
      <c r="E95" s="11" t="s">
        <v>40</v>
      </c>
      <c r="F95" s="11" t="s">
        <v>41</v>
      </c>
      <c r="G95" s="11" t="s">
        <v>42</v>
      </c>
      <c r="H95" s="11">
        <v>2247</v>
      </c>
      <c r="I95" s="11">
        <v>1775</v>
      </c>
      <c r="K95" s="13">
        <v>43182</v>
      </c>
      <c r="L95">
        <v>2677</v>
      </c>
      <c r="AA95" s="1">
        <v>43187</v>
      </c>
      <c r="AB95">
        <v>3755</v>
      </c>
    </row>
    <row r="96" spans="1:28" x14ac:dyDescent="0.35">
      <c r="A96" s="11" t="s">
        <v>120</v>
      </c>
      <c r="B96" s="12">
        <v>43195</v>
      </c>
      <c r="C96" s="11" t="s">
        <v>44</v>
      </c>
      <c r="D96" s="11" t="s">
        <v>33</v>
      </c>
      <c r="E96" s="11" t="s">
        <v>45</v>
      </c>
      <c r="F96" s="11" t="s">
        <v>46</v>
      </c>
      <c r="G96" s="11" t="s">
        <v>36</v>
      </c>
      <c r="H96" s="11">
        <v>2878</v>
      </c>
      <c r="I96" s="11">
        <v>1784</v>
      </c>
      <c r="K96" s="13">
        <v>43183</v>
      </c>
      <c r="L96">
        <v>2966</v>
      </c>
      <c r="AA96" s="1">
        <v>43188</v>
      </c>
      <c r="AB96">
        <v>3215</v>
      </c>
    </row>
    <row r="97" spans="1:28" x14ac:dyDescent="0.35">
      <c r="A97" s="11" t="s">
        <v>121</v>
      </c>
      <c r="B97" s="12">
        <v>43196</v>
      </c>
      <c r="C97" s="11" t="s">
        <v>48</v>
      </c>
      <c r="D97" s="11" t="s">
        <v>49</v>
      </c>
      <c r="E97" s="11" t="s">
        <v>50</v>
      </c>
      <c r="F97" s="11" t="s">
        <v>51</v>
      </c>
      <c r="G97" s="11" t="s">
        <v>42</v>
      </c>
      <c r="H97" s="11">
        <v>3425</v>
      </c>
      <c r="I97" s="11">
        <v>2706</v>
      </c>
      <c r="K97" s="13">
        <v>43184</v>
      </c>
      <c r="L97">
        <v>2106</v>
      </c>
      <c r="AA97" s="1">
        <v>43189</v>
      </c>
      <c r="AB97">
        <v>3685</v>
      </c>
    </row>
    <row r="98" spans="1:28" x14ac:dyDescent="0.35">
      <c r="A98" s="11" t="s">
        <v>122</v>
      </c>
      <c r="B98" s="12">
        <v>43197</v>
      </c>
      <c r="C98" s="11" t="s">
        <v>53</v>
      </c>
      <c r="D98" s="11" t="s">
        <v>49</v>
      </c>
      <c r="E98" s="11" t="s">
        <v>54</v>
      </c>
      <c r="F98" s="11" t="s">
        <v>55</v>
      </c>
      <c r="G98" s="11" t="s">
        <v>42</v>
      </c>
      <c r="H98" s="11">
        <v>2865</v>
      </c>
      <c r="I98" s="11">
        <v>2091</v>
      </c>
      <c r="K98" s="13">
        <v>43185</v>
      </c>
      <c r="L98">
        <v>3664</v>
      </c>
      <c r="AA98" s="1">
        <v>43190</v>
      </c>
      <c r="AB98">
        <v>4015</v>
      </c>
    </row>
    <row r="99" spans="1:28" x14ac:dyDescent="0.35">
      <c r="A99" s="11" t="s">
        <v>123</v>
      </c>
      <c r="B99" s="12">
        <v>43198</v>
      </c>
      <c r="C99" s="11" t="s">
        <v>57</v>
      </c>
      <c r="D99" s="11" t="s">
        <v>49</v>
      </c>
      <c r="E99" s="11" t="s">
        <v>54</v>
      </c>
      <c r="F99" s="11" t="s">
        <v>55</v>
      </c>
      <c r="G99" s="11" t="s">
        <v>42</v>
      </c>
      <c r="H99" s="11">
        <v>2393</v>
      </c>
      <c r="I99" s="11">
        <v>1723</v>
      </c>
      <c r="K99" s="13">
        <v>43186</v>
      </c>
      <c r="L99">
        <v>3069</v>
      </c>
      <c r="Z99" t="s">
        <v>413</v>
      </c>
      <c r="AB99">
        <v>101092</v>
      </c>
    </row>
    <row r="100" spans="1:28" x14ac:dyDescent="0.35">
      <c r="A100" s="11" t="s">
        <v>124</v>
      </c>
      <c r="B100" s="12">
        <v>43199</v>
      </c>
      <c r="C100" s="11" t="s">
        <v>59</v>
      </c>
      <c r="D100" s="11" t="s">
        <v>60</v>
      </c>
      <c r="E100" s="11" t="s">
        <v>61</v>
      </c>
      <c r="F100" s="11" t="s">
        <v>62</v>
      </c>
      <c r="G100" s="11" t="s">
        <v>13</v>
      </c>
      <c r="H100" s="11">
        <v>3149</v>
      </c>
      <c r="I100" s="11">
        <v>2299</v>
      </c>
      <c r="K100" s="13">
        <v>43187</v>
      </c>
      <c r="L100">
        <v>3755</v>
      </c>
      <c r="Y100" t="s">
        <v>424</v>
      </c>
      <c r="AB100">
        <v>284457</v>
      </c>
    </row>
    <row r="101" spans="1:28" x14ac:dyDescent="0.35">
      <c r="A101" s="11" t="s">
        <v>125</v>
      </c>
      <c r="B101" s="12">
        <v>43200</v>
      </c>
      <c r="C101" s="11" t="s">
        <v>64</v>
      </c>
      <c r="D101" s="11" t="s">
        <v>20</v>
      </c>
      <c r="E101" s="11" t="s">
        <v>65</v>
      </c>
      <c r="F101" s="11" t="s">
        <v>66</v>
      </c>
      <c r="G101" s="11" t="s">
        <v>13</v>
      </c>
      <c r="H101" s="11">
        <v>3277</v>
      </c>
      <c r="I101" s="11">
        <v>2130</v>
      </c>
      <c r="K101" s="13">
        <v>43188</v>
      </c>
      <c r="L101">
        <v>3215</v>
      </c>
      <c r="Y101" t="s">
        <v>404</v>
      </c>
      <c r="Z101" t="s">
        <v>394</v>
      </c>
      <c r="AA101" s="1">
        <v>43191</v>
      </c>
      <c r="AB101">
        <v>2517</v>
      </c>
    </row>
    <row r="102" spans="1:28" x14ac:dyDescent="0.35">
      <c r="A102" s="11" t="s">
        <v>126</v>
      </c>
      <c r="B102" s="12">
        <v>43201</v>
      </c>
      <c r="C102" s="11" t="s">
        <v>68</v>
      </c>
      <c r="D102" s="11" t="s">
        <v>69</v>
      </c>
      <c r="E102" s="11" t="s">
        <v>70</v>
      </c>
      <c r="F102" s="11" t="s">
        <v>71</v>
      </c>
      <c r="G102" s="11" t="s">
        <v>13</v>
      </c>
      <c r="H102" s="11">
        <v>2713</v>
      </c>
      <c r="I102" s="11">
        <v>1682</v>
      </c>
      <c r="K102" s="13">
        <v>43189</v>
      </c>
      <c r="L102">
        <v>3685</v>
      </c>
      <c r="AA102" s="1">
        <v>43192</v>
      </c>
      <c r="AB102">
        <v>2598</v>
      </c>
    </row>
    <row r="103" spans="1:28" x14ac:dyDescent="0.35">
      <c r="A103" s="11" t="s">
        <v>127</v>
      </c>
      <c r="B103" s="12">
        <v>43202</v>
      </c>
      <c r="C103" s="11" t="s">
        <v>73</v>
      </c>
      <c r="D103" s="11" t="s">
        <v>69</v>
      </c>
      <c r="E103" s="11" t="s">
        <v>70</v>
      </c>
      <c r="F103" s="11" t="s">
        <v>71</v>
      </c>
      <c r="G103" s="11" t="s">
        <v>13</v>
      </c>
      <c r="H103" s="11">
        <v>3381</v>
      </c>
      <c r="I103" s="11">
        <v>2231</v>
      </c>
      <c r="K103" s="13">
        <v>43190</v>
      </c>
      <c r="L103">
        <v>4015</v>
      </c>
      <c r="AA103" s="1">
        <v>43193</v>
      </c>
      <c r="AB103">
        <v>3513</v>
      </c>
    </row>
    <row r="104" spans="1:28" x14ac:dyDescent="0.35">
      <c r="A104" s="11" t="s">
        <v>128</v>
      </c>
      <c r="B104" s="12">
        <v>43203</v>
      </c>
      <c r="C104" s="11" t="s">
        <v>75</v>
      </c>
      <c r="D104" s="11" t="s">
        <v>49</v>
      </c>
      <c r="E104" s="11" t="s">
        <v>50</v>
      </c>
      <c r="F104" s="11" t="s">
        <v>76</v>
      </c>
      <c r="G104" s="11" t="s">
        <v>42</v>
      </c>
      <c r="H104" s="11">
        <v>2545</v>
      </c>
      <c r="I104" s="11">
        <v>2011</v>
      </c>
      <c r="K104" s="7" t="s">
        <v>404</v>
      </c>
      <c r="L104">
        <v>283414</v>
      </c>
      <c r="AA104" s="1">
        <v>43194</v>
      </c>
      <c r="AB104">
        <v>2247</v>
      </c>
    </row>
    <row r="105" spans="1:28" x14ac:dyDescent="0.35">
      <c r="A105" s="11" t="s">
        <v>129</v>
      </c>
      <c r="B105" s="12">
        <v>43204</v>
      </c>
      <c r="C105" s="11" t="s">
        <v>78</v>
      </c>
      <c r="D105" s="11" t="s">
        <v>49</v>
      </c>
      <c r="E105" s="11" t="s">
        <v>50</v>
      </c>
      <c r="F105" s="11" t="s">
        <v>76</v>
      </c>
      <c r="G105" s="11" t="s">
        <v>42</v>
      </c>
      <c r="H105" s="11">
        <v>4473</v>
      </c>
      <c r="I105" s="11">
        <v>2729</v>
      </c>
      <c r="K105" s="8" t="s">
        <v>394</v>
      </c>
      <c r="L105">
        <v>91173</v>
      </c>
      <c r="AA105" s="1">
        <v>43195</v>
      </c>
      <c r="AB105">
        <v>2878</v>
      </c>
    </row>
    <row r="106" spans="1:28" x14ac:dyDescent="0.35">
      <c r="A106" s="11" t="s">
        <v>130</v>
      </c>
      <c r="B106" s="12">
        <v>43205</v>
      </c>
      <c r="C106" s="11" t="s">
        <v>80</v>
      </c>
      <c r="D106" s="11" t="s">
        <v>49</v>
      </c>
      <c r="E106" s="11" t="s">
        <v>50</v>
      </c>
      <c r="F106" s="11" t="s">
        <v>76</v>
      </c>
      <c r="G106" s="11" t="s">
        <v>42</v>
      </c>
      <c r="H106" s="11">
        <v>3332</v>
      </c>
      <c r="I106" s="11">
        <v>2132</v>
      </c>
      <c r="K106" s="13">
        <v>43191</v>
      </c>
      <c r="L106">
        <v>2517</v>
      </c>
      <c r="AA106" s="1">
        <v>43196</v>
      </c>
      <c r="AB106">
        <v>3425</v>
      </c>
    </row>
    <row r="107" spans="1:28" x14ac:dyDescent="0.35">
      <c r="A107" s="11" t="s">
        <v>131</v>
      </c>
      <c r="B107" s="12">
        <v>43206</v>
      </c>
      <c r="C107" s="11" t="s">
        <v>10</v>
      </c>
      <c r="D107" s="11" t="s">
        <v>11</v>
      </c>
      <c r="E107" s="11" t="s">
        <v>12</v>
      </c>
      <c r="F107" s="11" t="s">
        <v>12</v>
      </c>
      <c r="G107" s="11" t="s">
        <v>13</v>
      </c>
      <c r="H107" s="11">
        <v>2283</v>
      </c>
      <c r="I107" s="11">
        <v>1438</v>
      </c>
      <c r="K107" s="13">
        <v>43192</v>
      </c>
      <c r="L107">
        <v>2598</v>
      </c>
      <c r="AA107" s="1">
        <v>43197</v>
      </c>
      <c r="AB107">
        <v>2865</v>
      </c>
    </row>
    <row r="108" spans="1:28" x14ac:dyDescent="0.35">
      <c r="A108" s="11" t="s">
        <v>132</v>
      </c>
      <c r="B108" s="12">
        <v>43207</v>
      </c>
      <c r="C108" s="11" t="s">
        <v>15</v>
      </c>
      <c r="D108" s="11" t="s">
        <v>11</v>
      </c>
      <c r="E108" s="11" t="s">
        <v>12</v>
      </c>
      <c r="F108" s="11" t="s">
        <v>12</v>
      </c>
      <c r="G108" s="11" t="s">
        <v>13</v>
      </c>
      <c r="H108" s="11">
        <v>2696</v>
      </c>
      <c r="I108" s="11">
        <v>1833</v>
      </c>
      <c r="K108" s="13">
        <v>43193</v>
      </c>
      <c r="L108">
        <v>3513</v>
      </c>
      <c r="AA108" s="1">
        <v>43198</v>
      </c>
      <c r="AB108">
        <v>2393</v>
      </c>
    </row>
    <row r="109" spans="1:28" x14ac:dyDescent="0.35">
      <c r="A109" s="11" t="s">
        <v>133</v>
      </c>
      <c r="B109" s="12">
        <v>43208</v>
      </c>
      <c r="C109" s="11" t="s">
        <v>17</v>
      </c>
      <c r="D109" s="11" t="s">
        <v>11</v>
      </c>
      <c r="E109" s="11" t="s">
        <v>12</v>
      </c>
      <c r="F109" s="11" t="s">
        <v>12</v>
      </c>
      <c r="G109" s="11" t="s">
        <v>13</v>
      </c>
      <c r="H109" s="11">
        <v>4061</v>
      </c>
      <c r="I109" s="11">
        <v>3127</v>
      </c>
      <c r="K109" s="13">
        <v>43194</v>
      </c>
      <c r="L109">
        <v>2247</v>
      </c>
      <c r="AA109" s="1">
        <v>43199</v>
      </c>
      <c r="AB109">
        <v>3149</v>
      </c>
    </row>
    <row r="110" spans="1:28" x14ac:dyDescent="0.35">
      <c r="A110" s="11" t="s">
        <v>134</v>
      </c>
      <c r="B110" s="12">
        <v>43209</v>
      </c>
      <c r="C110" s="11" t="s">
        <v>19</v>
      </c>
      <c r="D110" s="11" t="s">
        <v>20</v>
      </c>
      <c r="E110" s="11" t="s">
        <v>21</v>
      </c>
      <c r="F110" s="11" t="s">
        <v>22</v>
      </c>
      <c r="G110" s="11" t="s">
        <v>13</v>
      </c>
      <c r="H110" s="11">
        <v>2382</v>
      </c>
      <c r="I110" s="11">
        <v>1548</v>
      </c>
      <c r="K110" s="13">
        <v>43195</v>
      </c>
      <c r="L110">
        <v>2878</v>
      </c>
      <c r="AA110" s="1">
        <v>43200</v>
      </c>
      <c r="AB110">
        <v>3277</v>
      </c>
    </row>
    <row r="111" spans="1:28" x14ac:dyDescent="0.35">
      <c r="A111" s="11" t="s">
        <v>135</v>
      </c>
      <c r="B111" s="12">
        <v>43210</v>
      </c>
      <c r="C111" s="11" t="s">
        <v>24</v>
      </c>
      <c r="D111" s="11" t="s">
        <v>20</v>
      </c>
      <c r="E111" s="11" t="s">
        <v>21</v>
      </c>
      <c r="F111" s="11" t="s">
        <v>22</v>
      </c>
      <c r="G111" s="11" t="s">
        <v>13</v>
      </c>
      <c r="H111" s="11">
        <v>4336</v>
      </c>
      <c r="I111" s="11">
        <v>2602</v>
      </c>
      <c r="K111" s="13">
        <v>43196</v>
      </c>
      <c r="L111">
        <v>3425</v>
      </c>
      <c r="AA111" s="1">
        <v>43201</v>
      </c>
      <c r="AB111">
        <v>2713</v>
      </c>
    </row>
    <row r="112" spans="1:28" x14ac:dyDescent="0.35">
      <c r="A112" s="11" t="s">
        <v>136</v>
      </c>
      <c r="B112" s="12">
        <v>43211</v>
      </c>
      <c r="C112" s="11" t="s">
        <v>26</v>
      </c>
      <c r="D112" s="11" t="s">
        <v>20</v>
      </c>
      <c r="E112" s="11" t="s">
        <v>21</v>
      </c>
      <c r="F112" s="11" t="s">
        <v>22</v>
      </c>
      <c r="G112" s="11" t="s">
        <v>13</v>
      </c>
      <c r="H112" s="11">
        <v>2602</v>
      </c>
      <c r="I112" s="11">
        <v>2004</v>
      </c>
      <c r="K112" s="13">
        <v>43197</v>
      </c>
      <c r="L112">
        <v>2865</v>
      </c>
      <c r="AA112" s="1">
        <v>43202</v>
      </c>
      <c r="AB112">
        <v>3381</v>
      </c>
    </row>
    <row r="113" spans="1:28" x14ac:dyDescent="0.35">
      <c r="A113" s="11" t="s">
        <v>137</v>
      </c>
      <c r="B113" s="12">
        <v>43212</v>
      </c>
      <c r="C113" s="11" t="s">
        <v>28</v>
      </c>
      <c r="D113" s="11" t="s">
        <v>20</v>
      </c>
      <c r="E113" s="11" t="s">
        <v>21</v>
      </c>
      <c r="F113" s="11" t="s">
        <v>22</v>
      </c>
      <c r="G113" s="11" t="s">
        <v>13</v>
      </c>
      <c r="H113" s="11">
        <v>3094</v>
      </c>
      <c r="I113" s="11">
        <v>2073</v>
      </c>
      <c r="K113" s="13">
        <v>43198</v>
      </c>
      <c r="L113">
        <v>2393</v>
      </c>
      <c r="AA113" s="1">
        <v>43203</v>
      </c>
      <c r="AB113">
        <v>2545</v>
      </c>
    </row>
    <row r="114" spans="1:28" x14ac:dyDescent="0.35">
      <c r="A114" s="11" t="s">
        <v>138</v>
      </c>
      <c r="B114" s="12">
        <v>43213</v>
      </c>
      <c r="C114" s="11" t="s">
        <v>30</v>
      </c>
      <c r="D114" s="11" t="s">
        <v>20</v>
      </c>
      <c r="E114" s="11" t="s">
        <v>21</v>
      </c>
      <c r="F114" s="11" t="s">
        <v>22</v>
      </c>
      <c r="G114" s="11" t="s">
        <v>13</v>
      </c>
      <c r="H114" s="11">
        <v>3510</v>
      </c>
      <c r="I114" s="11">
        <v>2141</v>
      </c>
      <c r="K114" s="13">
        <v>43199</v>
      </c>
      <c r="L114">
        <v>3149</v>
      </c>
      <c r="AA114" s="1">
        <v>43204</v>
      </c>
      <c r="AB114">
        <v>4473</v>
      </c>
    </row>
    <row r="115" spans="1:28" x14ac:dyDescent="0.35">
      <c r="A115" s="11" t="s">
        <v>139</v>
      </c>
      <c r="B115" s="12">
        <v>43214</v>
      </c>
      <c r="C115" s="11" t="s">
        <v>32</v>
      </c>
      <c r="D115" s="11" t="s">
        <v>33</v>
      </c>
      <c r="E115" s="11" t="s">
        <v>34</v>
      </c>
      <c r="F115" s="11" t="s">
        <v>35</v>
      </c>
      <c r="G115" s="11" t="s">
        <v>36</v>
      </c>
      <c r="H115" s="11">
        <v>2134</v>
      </c>
      <c r="I115" s="11">
        <v>1536</v>
      </c>
      <c r="K115" s="13">
        <v>43200</v>
      </c>
      <c r="L115">
        <v>3277</v>
      </c>
      <c r="AA115" s="1">
        <v>43205</v>
      </c>
      <c r="AB115">
        <v>3332</v>
      </c>
    </row>
    <row r="116" spans="1:28" x14ac:dyDescent="0.35">
      <c r="A116" s="11" t="s">
        <v>140</v>
      </c>
      <c r="B116" s="12">
        <v>43215</v>
      </c>
      <c r="C116" s="11" t="s">
        <v>38</v>
      </c>
      <c r="D116" s="11" t="s">
        <v>39</v>
      </c>
      <c r="E116" s="11" t="s">
        <v>40</v>
      </c>
      <c r="F116" s="11" t="s">
        <v>41</v>
      </c>
      <c r="G116" s="11" t="s">
        <v>42</v>
      </c>
      <c r="H116" s="11">
        <v>2661</v>
      </c>
      <c r="I116" s="11">
        <v>2022</v>
      </c>
      <c r="K116" s="13">
        <v>43201</v>
      </c>
      <c r="L116">
        <v>2713</v>
      </c>
      <c r="AA116" s="1">
        <v>43206</v>
      </c>
      <c r="AB116">
        <v>2283</v>
      </c>
    </row>
    <row r="117" spans="1:28" x14ac:dyDescent="0.35">
      <c r="A117" s="11" t="s">
        <v>141</v>
      </c>
      <c r="B117" s="12">
        <v>43216</v>
      </c>
      <c r="C117" s="11" t="s">
        <v>44</v>
      </c>
      <c r="D117" s="11" t="s">
        <v>33</v>
      </c>
      <c r="E117" s="11" t="s">
        <v>45</v>
      </c>
      <c r="F117" s="11" t="s">
        <v>46</v>
      </c>
      <c r="G117" s="11" t="s">
        <v>36</v>
      </c>
      <c r="H117" s="11">
        <v>2901</v>
      </c>
      <c r="I117" s="11">
        <v>1741</v>
      </c>
      <c r="K117" s="13">
        <v>43202</v>
      </c>
      <c r="L117">
        <v>3381</v>
      </c>
      <c r="AA117" s="1">
        <v>43207</v>
      </c>
      <c r="AB117">
        <v>2696</v>
      </c>
    </row>
    <row r="118" spans="1:28" x14ac:dyDescent="0.35">
      <c r="A118" s="11" t="s">
        <v>142</v>
      </c>
      <c r="B118" s="12">
        <v>43217</v>
      </c>
      <c r="C118" s="11" t="s">
        <v>48</v>
      </c>
      <c r="D118" s="11" t="s">
        <v>49</v>
      </c>
      <c r="E118" s="11" t="s">
        <v>50</v>
      </c>
      <c r="F118" s="11" t="s">
        <v>51</v>
      </c>
      <c r="G118" s="11" t="s">
        <v>42</v>
      </c>
      <c r="H118" s="11">
        <v>3784</v>
      </c>
      <c r="I118" s="11">
        <v>2384</v>
      </c>
      <c r="K118" s="13">
        <v>43203</v>
      </c>
      <c r="L118">
        <v>2545</v>
      </c>
      <c r="AA118" s="1">
        <v>43208</v>
      </c>
      <c r="AB118">
        <v>4061</v>
      </c>
    </row>
    <row r="119" spans="1:28" x14ac:dyDescent="0.35">
      <c r="A119" s="11" t="s">
        <v>143</v>
      </c>
      <c r="B119" s="12">
        <v>43218</v>
      </c>
      <c r="C119" s="11" t="s">
        <v>53</v>
      </c>
      <c r="D119" s="11" t="s">
        <v>49</v>
      </c>
      <c r="E119" s="11" t="s">
        <v>54</v>
      </c>
      <c r="F119" s="11" t="s">
        <v>55</v>
      </c>
      <c r="G119" s="11" t="s">
        <v>42</v>
      </c>
      <c r="H119" s="11">
        <v>3135</v>
      </c>
      <c r="I119" s="11">
        <v>2445</v>
      </c>
      <c r="K119" s="13">
        <v>43204</v>
      </c>
      <c r="L119">
        <v>4473</v>
      </c>
      <c r="AA119" s="1">
        <v>43209</v>
      </c>
      <c r="AB119">
        <v>2382</v>
      </c>
    </row>
    <row r="120" spans="1:28" x14ac:dyDescent="0.35">
      <c r="A120" s="11" t="s">
        <v>144</v>
      </c>
      <c r="B120" s="12">
        <v>43219</v>
      </c>
      <c r="C120" s="11" t="s">
        <v>57</v>
      </c>
      <c r="D120" s="11" t="s">
        <v>49</v>
      </c>
      <c r="E120" s="11" t="s">
        <v>54</v>
      </c>
      <c r="F120" s="11" t="s">
        <v>55</v>
      </c>
      <c r="G120" s="11" t="s">
        <v>42</v>
      </c>
      <c r="H120" s="11">
        <v>2802</v>
      </c>
      <c r="I120" s="11">
        <v>1877</v>
      </c>
      <c r="K120" s="13">
        <v>43205</v>
      </c>
      <c r="L120">
        <v>3332</v>
      </c>
      <c r="AA120" s="1">
        <v>43210</v>
      </c>
      <c r="AB120">
        <v>4336</v>
      </c>
    </row>
    <row r="121" spans="1:28" x14ac:dyDescent="0.35">
      <c r="A121" s="11" t="s">
        <v>145</v>
      </c>
      <c r="B121" s="12">
        <v>43220</v>
      </c>
      <c r="C121" s="11" t="s">
        <v>59</v>
      </c>
      <c r="D121" s="11" t="s">
        <v>60</v>
      </c>
      <c r="E121" s="11" t="s">
        <v>61</v>
      </c>
      <c r="F121" s="11" t="s">
        <v>62</v>
      </c>
      <c r="G121" s="11" t="s">
        <v>13</v>
      </c>
      <c r="H121" s="11">
        <v>3486</v>
      </c>
      <c r="I121" s="11">
        <v>2789</v>
      </c>
      <c r="K121" s="13">
        <v>43206</v>
      </c>
      <c r="L121">
        <v>2283</v>
      </c>
      <c r="AA121" s="1">
        <v>43211</v>
      </c>
      <c r="AB121">
        <v>2602</v>
      </c>
    </row>
    <row r="122" spans="1:28" x14ac:dyDescent="0.35">
      <c r="A122" s="11" t="s">
        <v>146</v>
      </c>
      <c r="B122" s="12">
        <v>43221</v>
      </c>
      <c r="C122" s="11" t="s">
        <v>64</v>
      </c>
      <c r="D122" s="11" t="s">
        <v>20</v>
      </c>
      <c r="E122" s="11" t="s">
        <v>65</v>
      </c>
      <c r="F122" s="11" t="s">
        <v>66</v>
      </c>
      <c r="G122" s="11" t="s">
        <v>13</v>
      </c>
      <c r="H122" s="11">
        <v>3422</v>
      </c>
      <c r="I122" s="11">
        <v>2122</v>
      </c>
      <c r="K122" s="13">
        <v>43207</v>
      </c>
      <c r="L122">
        <v>2696</v>
      </c>
      <c r="AA122" s="1">
        <v>43212</v>
      </c>
      <c r="AB122">
        <v>3094</v>
      </c>
    </row>
    <row r="123" spans="1:28" x14ac:dyDescent="0.35">
      <c r="A123" s="11" t="s">
        <v>147</v>
      </c>
      <c r="B123" s="12">
        <v>43222</v>
      </c>
      <c r="C123" s="11" t="s">
        <v>68</v>
      </c>
      <c r="D123" s="11" t="s">
        <v>69</v>
      </c>
      <c r="E123" s="11" t="s">
        <v>70</v>
      </c>
      <c r="F123" s="11" t="s">
        <v>71</v>
      </c>
      <c r="G123" s="11" t="s">
        <v>13</v>
      </c>
      <c r="H123" s="11">
        <v>2842</v>
      </c>
      <c r="I123" s="11">
        <v>2188</v>
      </c>
      <c r="K123" s="13">
        <v>43208</v>
      </c>
      <c r="L123">
        <v>4061</v>
      </c>
      <c r="AA123" s="1">
        <v>43213</v>
      </c>
      <c r="AB123">
        <v>3510</v>
      </c>
    </row>
    <row r="124" spans="1:28" x14ac:dyDescent="0.35">
      <c r="A124" s="11" t="s">
        <v>148</v>
      </c>
      <c r="B124" s="12">
        <v>43223</v>
      </c>
      <c r="C124" s="11" t="s">
        <v>73</v>
      </c>
      <c r="D124" s="11" t="s">
        <v>69</v>
      </c>
      <c r="E124" s="11" t="s">
        <v>70</v>
      </c>
      <c r="F124" s="11" t="s">
        <v>71</v>
      </c>
      <c r="G124" s="11" t="s">
        <v>13</v>
      </c>
      <c r="H124" s="11">
        <v>3846</v>
      </c>
      <c r="I124" s="11">
        <v>2500</v>
      </c>
      <c r="K124" s="13">
        <v>43209</v>
      </c>
      <c r="L124">
        <v>2382</v>
      </c>
      <c r="AA124" s="1">
        <v>43214</v>
      </c>
      <c r="AB124">
        <v>2134</v>
      </c>
    </row>
    <row r="125" spans="1:28" x14ac:dyDescent="0.35">
      <c r="A125" s="11" t="s">
        <v>149</v>
      </c>
      <c r="B125" s="12">
        <v>43224</v>
      </c>
      <c r="C125" s="11" t="s">
        <v>75</v>
      </c>
      <c r="D125" s="11" t="s">
        <v>49</v>
      </c>
      <c r="E125" s="11" t="s">
        <v>50</v>
      </c>
      <c r="F125" s="11" t="s">
        <v>76</v>
      </c>
      <c r="G125" s="11" t="s">
        <v>42</v>
      </c>
      <c r="H125" s="11">
        <v>3131</v>
      </c>
      <c r="I125" s="11">
        <v>2380</v>
      </c>
      <c r="K125" s="13">
        <v>43210</v>
      </c>
      <c r="L125">
        <v>4336</v>
      </c>
      <c r="AA125" s="1">
        <v>43215</v>
      </c>
      <c r="AB125">
        <v>2661</v>
      </c>
    </row>
    <row r="126" spans="1:28" x14ac:dyDescent="0.35">
      <c r="A126" s="11" t="s">
        <v>150</v>
      </c>
      <c r="B126" s="12">
        <v>43225</v>
      </c>
      <c r="C126" s="11" t="s">
        <v>78</v>
      </c>
      <c r="D126" s="11" t="s">
        <v>49</v>
      </c>
      <c r="E126" s="11" t="s">
        <v>50</v>
      </c>
      <c r="F126" s="11" t="s">
        <v>76</v>
      </c>
      <c r="G126" s="11" t="s">
        <v>42</v>
      </c>
      <c r="H126" s="11">
        <v>3825</v>
      </c>
      <c r="I126" s="11">
        <v>2333</v>
      </c>
      <c r="K126" s="13">
        <v>43211</v>
      </c>
      <c r="L126">
        <v>2602</v>
      </c>
      <c r="AA126" s="1">
        <v>43216</v>
      </c>
      <c r="AB126">
        <v>2901</v>
      </c>
    </row>
    <row r="127" spans="1:28" x14ac:dyDescent="0.35">
      <c r="A127" s="11" t="s">
        <v>151</v>
      </c>
      <c r="B127" s="12">
        <v>43226</v>
      </c>
      <c r="C127" s="11" t="s">
        <v>80</v>
      </c>
      <c r="D127" s="11" t="s">
        <v>49</v>
      </c>
      <c r="E127" s="11" t="s">
        <v>50</v>
      </c>
      <c r="F127" s="11" t="s">
        <v>76</v>
      </c>
      <c r="G127" s="11" t="s">
        <v>42</v>
      </c>
      <c r="H127" s="11">
        <v>4362</v>
      </c>
      <c r="I127" s="11">
        <v>3446</v>
      </c>
      <c r="K127" s="13">
        <v>43212</v>
      </c>
      <c r="L127">
        <v>3094</v>
      </c>
      <c r="AA127" s="1">
        <v>43217</v>
      </c>
      <c r="AB127">
        <v>3784</v>
      </c>
    </row>
    <row r="128" spans="1:28" x14ac:dyDescent="0.35">
      <c r="A128" s="11" t="s">
        <v>152</v>
      </c>
      <c r="B128" s="12">
        <v>43227</v>
      </c>
      <c r="C128" s="11" t="s">
        <v>10</v>
      </c>
      <c r="D128" s="11" t="s">
        <v>11</v>
      </c>
      <c r="E128" s="11" t="s">
        <v>12</v>
      </c>
      <c r="F128" s="11" t="s">
        <v>12</v>
      </c>
      <c r="G128" s="11" t="s">
        <v>13</v>
      </c>
      <c r="H128" s="11">
        <v>2934</v>
      </c>
      <c r="I128" s="11">
        <v>1819</v>
      </c>
      <c r="K128" s="13">
        <v>43213</v>
      </c>
      <c r="L128">
        <v>3510</v>
      </c>
      <c r="AA128" s="1">
        <v>43218</v>
      </c>
      <c r="AB128">
        <v>3135</v>
      </c>
    </row>
    <row r="129" spans="1:28" x14ac:dyDescent="0.35">
      <c r="A129" s="11" t="s">
        <v>153</v>
      </c>
      <c r="B129" s="12">
        <v>43228</v>
      </c>
      <c r="C129" s="11" t="s">
        <v>15</v>
      </c>
      <c r="D129" s="11" t="s">
        <v>11</v>
      </c>
      <c r="E129" s="11" t="s">
        <v>12</v>
      </c>
      <c r="F129" s="11" t="s">
        <v>12</v>
      </c>
      <c r="G129" s="11" t="s">
        <v>13</v>
      </c>
      <c r="H129" s="11">
        <v>4354</v>
      </c>
      <c r="I129" s="11">
        <v>2787</v>
      </c>
      <c r="K129" s="13">
        <v>43214</v>
      </c>
      <c r="L129">
        <v>2134</v>
      </c>
      <c r="AA129" s="1">
        <v>43219</v>
      </c>
      <c r="AB129">
        <v>2802</v>
      </c>
    </row>
    <row r="130" spans="1:28" x14ac:dyDescent="0.35">
      <c r="A130" s="11" t="s">
        <v>154</v>
      </c>
      <c r="B130" s="12">
        <v>43229</v>
      </c>
      <c r="C130" s="11" t="s">
        <v>17</v>
      </c>
      <c r="D130" s="11" t="s">
        <v>11</v>
      </c>
      <c r="E130" s="11" t="s">
        <v>12</v>
      </c>
      <c r="F130" s="11" t="s">
        <v>12</v>
      </c>
      <c r="G130" s="11" t="s">
        <v>13</v>
      </c>
      <c r="H130" s="11">
        <v>2102</v>
      </c>
      <c r="I130" s="11">
        <v>1534</v>
      </c>
      <c r="K130" s="13">
        <v>43215</v>
      </c>
      <c r="L130">
        <v>2661</v>
      </c>
      <c r="AA130" s="1">
        <v>43220</v>
      </c>
      <c r="AB130">
        <v>3486</v>
      </c>
    </row>
    <row r="131" spans="1:28" x14ac:dyDescent="0.35">
      <c r="A131" s="11" t="s">
        <v>155</v>
      </c>
      <c r="B131" s="12">
        <v>43230</v>
      </c>
      <c r="C131" s="11" t="s">
        <v>19</v>
      </c>
      <c r="D131" s="11" t="s">
        <v>20</v>
      </c>
      <c r="E131" s="11" t="s">
        <v>21</v>
      </c>
      <c r="F131" s="11" t="s">
        <v>22</v>
      </c>
      <c r="G131" s="11" t="s">
        <v>13</v>
      </c>
      <c r="H131" s="11">
        <v>3261</v>
      </c>
      <c r="I131" s="11">
        <v>2446</v>
      </c>
      <c r="K131" s="13">
        <v>43216</v>
      </c>
      <c r="L131">
        <v>2901</v>
      </c>
      <c r="Z131" t="s">
        <v>414</v>
      </c>
      <c r="AB131">
        <v>91173</v>
      </c>
    </row>
    <row r="132" spans="1:28" x14ac:dyDescent="0.35">
      <c r="A132" s="11" t="s">
        <v>156</v>
      </c>
      <c r="B132" s="12">
        <v>43231</v>
      </c>
      <c r="C132" s="11" t="s">
        <v>24</v>
      </c>
      <c r="D132" s="11" t="s">
        <v>20</v>
      </c>
      <c r="E132" s="11" t="s">
        <v>21</v>
      </c>
      <c r="F132" s="11" t="s">
        <v>22</v>
      </c>
      <c r="G132" s="11" t="s">
        <v>13</v>
      </c>
      <c r="H132" s="11">
        <v>2577</v>
      </c>
      <c r="I132" s="11">
        <v>1907</v>
      </c>
      <c r="K132" s="13">
        <v>43217</v>
      </c>
      <c r="L132">
        <v>3784</v>
      </c>
      <c r="Z132" t="s">
        <v>395</v>
      </c>
      <c r="AA132" s="1">
        <v>43221</v>
      </c>
      <c r="AB132">
        <v>3422</v>
      </c>
    </row>
    <row r="133" spans="1:28" x14ac:dyDescent="0.35">
      <c r="A133" s="11" t="s">
        <v>157</v>
      </c>
      <c r="B133" s="12">
        <v>43232</v>
      </c>
      <c r="C133" s="11" t="s">
        <v>26</v>
      </c>
      <c r="D133" s="11" t="s">
        <v>20</v>
      </c>
      <c r="E133" s="11" t="s">
        <v>21</v>
      </c>
      <c r="F133" s="11" t="s">
        <v>22</v>
      </c>
      <c r="G133" s="11" t="s">
        <v>13</v>
      </c>
      <c r="H133" s="11">
        <v>3131</v>
      </c>
      <c r="I133" s="11">
        <v>1973</v>
      </c>
      <c r="K133" s="13">
        <v>43218</v>
      </c>
      <c r="L133">
        <v>3135</v>
      </c>
      <c r="AA133" s="1">
        <v>43222</v>
      </c>
      <c r="AB133">
        <v>2842</v>
      </c>
    </row>
    <row r="134" spans="1:28" x14ac:dyDescent="0.35">
      <c r="A134" s="11" t="s">
        <v>158</v>
      </c>
      <c r="B134" s="12">
        <v>43233</v>
      </c>
      <c r="C134" s="11" t="s">
        <v>28</v>
      </c>
      <c r="D134" s="11" t="s">
        <v>20</v>
      </c>
      <c r="E134" s="11" t="s">
        <v>21</v>
      </c>
      <c r="F134" s="11" t="s">
        <v>22</v>
      </c>
      <c r="G134" s="11" t="s">
        <v>13</v>
      </c>
      <c r="H134" s="11">
        <v>2683</v>
      </c>
      <c r="I134" s="11">
        <v>1798</v>
      </c>
      <c r="K134" s="13">
        <v>43219</v>
      </c>
      <c r="L134">
        <v>2802</v>
      </c>
      <c r="AA134" s="1">
        <v>43223</v>
      </c>
      <c r="AB134">
        <v>3846</v>
      </c>
    </row>
    <row r="135" spans="1:28" x14ac:dyDescent="0.35">
      <c r="A135" s="11" t="s">
        <v>159</v>
      </c>
      <c r="B135" s="12">
        <v>43234</v>
      </c>
      <c r="C135" s="11" t="s">
        <v>30</v>
      </c>
      <c r="D135" s="11" t="s">
        <v>20</v>
      </c>
      <c r="E135" s="11" t="s">
        <v>21</v>
      </c>
      <c r="F135" s="11" t="s">
        <v>22</v>
      </c>
      <c r="G135" s="11" t="s">
        <v>13</v>
      </c>
      <c r="H135" s="11">
        <v>2613</v>
      </c>
      <c r="I135" s="11">
        <v>1751</v>
      </c>
      <c r="K135" s="13">
        <v>43220</v>
      </c>
      <c r="L135">
        <v>3486</v>
      </c>
      <c r="AA135" s="1">
        <v>43224</v>
      </c>
      <c r="AB135">
        <v>3131</v>
      </c>
    </row>
    <row r="136" spans="1:28" x14ac:dyDescent="0.35">
      <c r="A136" s="11" t="s">
        <v>160</v>
      </c>
      <c r="B136" s="12">
        <v>43235</v>
      </c>
      <c r="C136" s="11" t="s">
        <v>32</v>
      </c>
      <c r="D136" s="11" t="s">
        <v>33</v>
      </c>
      <c r="E136" s="11" t="s">
        <v>34</v>
      </c>
      <c r="F136" s="11" t="s">
        <v>35</v>
      </c>
      <c r="G136" s="11" t="s">
        <v>36</v>
      </c>
      <c r="H136" s="11">
        <v>4076</v>
      </c>
      <c r="I136" s="11">
        <v>2609</v>
      </c>
      <c r="K136" s="8" t="s">
        <v>395</v>
      </c>
      <c r="L136">
        <v>99656</v>
      </c>
      <c r="AA136" s="1">
        <v>43225</v>
      </c>
      <c r="AB136">
        <v>3825</v>
      </c>
    </row>
    <row r="137" spans="1:28" x14ac:dyDescent="0.35">
      <c r="A137" s="11" t="s">
        <v>161</v>
      </c>
      <c r="B137" s="12">
        <v>43236</v>
      </c>
      <c r="C137" s="11" t="s">
        <v>38</v>
      </c>
      <c r="D137" s="11" t="s">
        <v>39</v>
      </c>
      <c r="E137" s="11" t="s">
        <v>40</v>
      </c>
      <c r="F137" s="11" t="s">
        <v>41</v>
      </c>
      <c r="G137" s="11" t="s">
        <v>42</v>
      </c>
      <c r="H137" s="11">
        <v>4400</v>
      </c>
      <c r="I137" s="11">
        <v>3432</v>
      </c>
      <c r="K137" s="13">
        <v>43221</v>
      </c>
      <c r="L137">
        <v>3422</v>
      </c>
      <c r="AA137" s="1">
        <v>43226</v>
      </c>
      <c r="AB137">
        <v>4362</v>
      </c>
    </row>
    <row r="138" spans="1:28" x14ac:dyDescent="0.35">
      <c r="A138" s="11" t="s">
        <v>162</v>
      </c>
      <c r="B138" s="12">
        <v>43237</v>
      </c>
      <c r="C138" s="11" t="s">
        <v>44</v>
      </c>
      <c r="D138" s="11" t="s">
        <v>33</v>
      </c>
      <c r="E138" s="11" t="s">
        <v>45</v>
      </c>
      <c r="F138" s="11" t="s">
        <v>46</v>
      </c>
      <c r="G138" s="11" t="s">
        <v>36</v>
      </c>
      <c r="H138" s="11">
        <v>2466</v>
      </c>
      <c r="I138" s="11">
        <v>1603</v>
      </c>
      <c r="K138" s="13">
        <v>43222</v>
      </c>
      <c r="L138">
        <v>2842</v>
      </c>
      <c r="AA138" s="1">
        <v>43227</v>
      </c>
      <c r="AB138">
        <v>2934</v>
      </c>
    </row>
    <row r="139" spans="1:28" x14ac:dyDescent="0.35">
      <c r="A139" s="11" t="s">
        <v>163</v>
      </c>
      <c r="B139" s="12">
        <v>43238</v>
      </c>
      <c r="C139" s="11" t="s">
        <v>48</v>
      </c>
      <c r="D139" s="11" t="s">
        <v>49</v>
      </c>
      <c r="E139" s="11" t="s">
        <v>50</v>
      </c>
      <c r="F139" s="11" t="s">
        <v>51</v>
      </c>
      <c r="G139" s="11" t="s">
        <v>42</v>
      </c>
      <c r="H139" s="11">
        <v>2137</v>
      </c>
      <c r="I139" s="11">
        <v>1325</v>
      </c>
      <c r="K139" s="13">
        <v>43223</v>
      </c>
      <c r="L139">
        <v>3846</v>
      </c>
      <c r="AA139" s="1">
        <v>43228</v>
      </c>
      <c r="AB139">
        <v>4354</v>
      </c>
    </row>
    <row r="140" spans="1:28" x14ac:dyDescent="0.35">
      <c r="A140" s="11" t="s">
        <v>164</v>
      </c>
      <c r="B140" s="12">
        <v>43239</v>
      </c>
      <c r="C140" s="11" t="s">
        <v>53</v>
      </c>
      <c r="D140" s="11" t="s">
        <v>49</v>
      </c>
      <c r="E140" s="11" t="s">
        <v>54</v>
      </c>
      <c r="F140" s="11" t="s">
        <v>55</v>
      </c>
      <c r="G140" s="11" t="s">
        <v>42</v>
      </c>
      <c r="H140" s="11">
        <v>4216</v>
      </c>
      <c r="I140" s="11">
        <v>3162</v>
      </c>
      <c r="K140" s="13">
        <v>43224</v>
      </c>
      <c r="L140">
        <v>3131</v>
      </c>
      <c r="AA140" s="1">
        <v>43229</v>
      </c>
      <c r="AB140">
        <v>2102</v>
      </c>
    </row>
    <row r="141" spans="1:28" x14ac:dyDescent="0.35">
      <c r="A141" s="11" t="s">
        <v>165</v>
      </c>
      <c r="B141" s="12">
        <v>43240</v>
      </c>
      <c r="C141" s="11" t="s">
        <v>57</v>
      </c>
      <c r="D141" s="11" t="s">
        <v>49</v>
      </c>
      <c r="E141" s="11" t="s">
        <v>54</v>
      </c>
      <c r="F141" s="11" t="s">
        <v>55</v>
      </c>
      <c r="G141" s="11" t="s">
        <v>42</v>
      </c>
      <c r="H141" s="11">
        <v>3165</v>
      </c>
      <c r="I141" s="11">
        <v>2310</v>
      </c>
      <c r="K141" s="13">
        <v>43225</v>
      </c>
      <c r="L141">
        <v>3825</v>
      </c>
      <c r="AA141" s="1">
        <v>43230</v>
      </c>
      <c r="AB141">
        <v>3261</v>
      </c>
    </row>
    <row r="142" spans="1:28" x14ac:dyDescent="0.35">
      <c r="A142" s="11" t="s">
        <v>166</v>
      </c>
      <c r="B142" s="12">
        <v>43241</v>
      </c>
      <c r="C142" s="11" t="s">
        <v>59</v>
      </c>
      <c r="D142" s="11" t="s">
        <v>60</v>
      </c>
      <c r="E142" s="11" t="s">
        <v>61</v>
      </c>
      <c r="F142" s="11" t="s">
        <v>62</v>
      </c>
      <c r="G142" s="11" t="s">
        <v>13</v>
      </c>
      <c r="H142" s="11">
        <v>3263</v>
      </c>
      <c r="I142" s="11">
        <v>2545</v>
      </c>
      <c r="K142" s="13">
        <v>43226</v>
      </c>
      <c r="L142">
        <v>4362</v>
      </c>
      <c r="AA142" s="1">
        <v>43231</v>
      </c>
      <c r="AB142">
        <v>2577</v>
      </c>
    </row>
    <row r="143" spans="1:28" x14ac:dyDescent="0.35">
      <c r="A143" s="11" t="s">
        <v>167</v>
      </c>
      <c r="B143" s="12">
        <v>43242</v>
      </c>
      <c r="C143" s="11" t="s">
        <v>64</v>
      </c>
      <c r="D143" s="11" t="s">
        <v>20</v>
      </c>
      <c r="E143" s="11" t="s">
        <v>65</v>
      </c>
      <c r="F143" s="11" t="s">
        <v>66</v>
      </c>
      <c r="G143" s="11" t="s">
        <v>13</v>
      </c>
      <c r="H143" s="11">
        <v>2946</v>
      </c>
      <c r="I143" s="11">
        <v>2210</v>
      </c>
      <c r="K143" s="13">
        <v>43227</v>
      </c>
      <c r="L143">
        <v>2934</v>
      </c>
      <c r="AA143" s="1">
        <v>43232</v>
      </c>
      <c r="AB143">
        <v>3131</v>
      </c>
    </row>
    <row r="144" spans="1:28" x14ac:dyDescent="0.35">
      <c r="A144" s="11" t="s">
        <v>168</v>
      </c>
      <c r="B144" s="12">
        <v>43243</v>
      </c>
      <c r="C144" s="11" t="s">
        <v>68</v>
      </c>
      <c r="D144" s="11" t="s">
        <v>69</v>
      </c>
      <c r="E144" s="11" t="s">
        <v>70</v>
      </c>
      <c r="F144" s="11" t="s">
        <v>71</v>
      </c>
      <c r="G144" s="11" t="s">
        <v>13</v>
      </c>
      <c r="H144" s="11">
        <v>2989</v>
      </c>
      <c r="I144" s="11">
        <v>2212</v>
      </c>
      <c r="K144" s="13">
        <v>43228</v>
      </c>
      <c r="L144">
        <v>4354</v>
      </c>
      <c r="AA144" s="1">
        <v>43233</v>
      </c>
      <c r="AB144">
        <v>2683</v>
      </c>
    </row>
    <row r="145" spans="1:28" x14ac:dyDescent="0.35">
      <c r="A145" s="11" t="s">
        <v>169</v>
      </c>
      <c r="B145" s="12">
        <v>43244</v>
      </c>
      <c r="C145" s="11" t="s">
        <v>73</v>
      </c>
      <c r="D145" s="11" t="s">
        <v>69</v>
      </c>
      <c r="E145" s="11" t="s">
        <v>70</v>
      </c>
      <c r="F145" s="11" t="s">
        <v>71</v>
      </c>
      <c r="G145" s="11" t="s">
        <v>13</v>
      </c>
      <c r="H145" s="11">
        <v>3463</v>
      </c>
      <c r="I145" s="11">
        <v>2770</v>
      </c>
      <c r="K145" s="13">
        <v>43229</v>
      </c>
      <c r="L145">
        <v>2102</v>
      </c>
      <c r="AA145" s="1">
        <v>43234</v>
      </c>
      <c r="AB145">
        <v>2613</v>
      </c>
    </row>
    <row r="146" spans="1:28" x14ac:dyDescent="0.35">
      <c r="A146" s="11" t="s">
        <v>170</v>
      </c>
      <c r="B146" s="12">
        <v>43245</v>
      </c>
      <c r="C146" s="11" t="s">
        <v>75</v>
      </c>
      <c r="D146" s="11" t="s">
        <v>49</v>
      </c>
      <c r="E146" s="11" t="s">
        <v>50</v>
      </c>
      <c r="F146" s="11" t="s">
        <v>76</v>
      </c>
      <c r="G146" s="11" t="s">
        <v>42</v>
      </c>
      <c r="H146" s="11">
        <v>2677</v>
      </c>
      <c r="I146" s="11">
        <v>2088</v>
      </c>
      <c r="K146" s="13">
        <v>43230</v>
      </c>
      <c r="L146">
        <v>3261</v>
      </c>
      <c r="AA146" s="1">
        <v>43235</v>
      </c>
      <c r="AB146">
        <v>4076</v>
      </c>
    </row>
    <row r="147" spans="1:28" x14ac:dyDescent="0.35">
      <c r="A147" s="11" t="s">
        <v>171</v>
      </c>
      <c r="B147" s="12">
        <v>43246</v>
      </c>
      <c r="C147" s="11" t="s">
        <v>78</v>
      </c>
      <c r="D147" s="11" t="s">
        <v>49</v>
      </c>
      <c r="E147" s="11" t="s">
        <v>50</v>
      </c>
      <c r="F147" s="11" t="s">
        <v>76</v>
      </c>
      <c r="G147" s="11" t="s">
        <v>42</v>
      </c>
      <c r="H147" s="11">
        <v>2966</v>
      </c>
      <c r="I147" s="11">
        <v>1928</v>
      </c>
      <c r="K147" s="13">
        <v>43231</v>
      </c>
      <c r="L147">
        <v>2577</v>
      </c>
      <c r="AA147" s="1">
        <v>43236</v>
      </c>
      <c r="AB147">
        <v>4400</v>
      </c>
    </row>
    <row r="148" spans="1:28" x14ac:dyDescent="0.35">
      <c r="A148" s="11" t="s">
        <v>172</v>
      </c>
      <c r="B148" s="12">
        <v>43247</v>
      </c>
      <c r="C148" s="11" t="s">
        <v>80</v>
      </c>
      <c r="D148" s="11" t="s">
        <v>49</v>
      </c>
      <c r="E148" s="11" t="s">
        <v>50</v>
      </c>
      <c r="F148" s="11" t="s">
        <v>76</v>
      </c>
      <c r="G148" s="11" t="s">
        <v>42</v>
      </c>
      <c r="H148" s="11">
        <v>2106</v>
      </c>
      <c r="I148" s="11">
        <v>1516</v>
      </c>
      <c r="K148" s="13">
        <v>43232</v>
      </c>
      <c r="L148">
        <v>3131</v>
      </c>
      <c r="AA148" s="1">
        <v>43237</v>
      </c>
      <c r="AB148">
        <v>2466</v>
      </c>
    </row>
    <row r="149" spans="1:28" x14ac:dyDescent="0.35">
      <c r="A149" s="11" t="s">
        <v>173</v>
      </c>
      <c r="B149" s="12">
        <v>43248</v>
      </c>
      <c r="C149" s="11" t="s">
        <v>10</v>
      </c>
      <c r="D149" s="11" t="s">
        <v>11</v>
      </c>
      <c r="E149" s="11" t="s">
        <v>12</v>
      </c>
      <c r="F149" s="11" t="s">
        <v>12</v>
      </c>
      <c r="G149" s="11" t="s">
        <v>13</v>
      </c>
      <c r="H149" s="11">
        <v>3664</v>
      </c>
      <c r="I149" s="11">
        <v>2272</v>
      </c>
      <c r="K149" s="13">
        <v>43233</v>
      </c>
      <c r="L149">
        <v>2683</v>
      </c>
      <c r="AA149" s="1">
        <v>43238</v>
      </c>
      <c r="AB149">
        <v>2137</v>
      </c>
    </row>
    <row r="150" spans="1:28" x14ac:dyDescent="0.35">
      <c r="A150" s="11" t="s">
        <v>174</v>
      </c>
      <c r="B150" s="12">
        <v>43249</v>
      </c>
      <c r="C150" s="11" t="s">
        <v>15</v>
      </c>
      <c r="D150" s="11" t="s">
        <v>11</v>
      </c>
      <c r="E150" s="11" t="s">
        <v>12</v>
      </c>
      <c r="F150" s="11" t="s">
        <v>12</v>
      </c>
      <c r="G150" s="11" t="s">
        <v>13</v>
      </c>
      <c r="H150" s="11">
        <v>3069</v>
      </c>
      <c r="I150" s="11">
        <v>2240</v>
      </c>
      <c r="K150" s="13">
        <v>43234</v>
      </c>
      <c r="L150">
        <v>2613</v>
      </c>
      <c r="AA150" s="1">
        <v>43239</v>
      </c>
      <c r="AB150">
        <v>4216</v>
      </c>
    </row>
    <row r="151" spans="1:28" x14ac:dyDescent="0.35">
      <c r="A151" s="11" t="s">
        <v>175</v>
      </c>
      <c r="B151" s="12">
        <v>43250</v>
      </c>
      <c r="C151" s="11" t="s">
        <v>17</v>
      </c>
      <c r="D151" s="11" t="s">
        <v>11</v>
      </c>
      <c r="E151" s="11" t="s">
        <v>12</v>
      </c>
      <c r="F151" s="11" t="s">
        <v>12</v>
      </c>
      <c r="G151" s="11" t="s">
        <v>13</v>
      </c>
      <c r="H151" s="11">
        <v>3755</v>
      </c>
      <c r="I151" s="11">
        <v>2516</v>
      </c>
      <c r="K151" s="13">
        <v>43235</v>
      </c>
      <c r="L151">
        <v>4076</v>
      </c>
      <c r="AA151" s="1">
        <v>43240</v>
      </c>
      <c r="AB151">
        <v>3165</v>
      </c>
    </row>
    <row r="152" spans="1:28" x14ac:dyDescent="0.35">
      <c r="A152" s="11" t="s">
        <v>176</v>
      </c>
      <c r="B152" s="12">
        <v>43251</v>
      </c>
      <c r="C152" s="11" t="s">
        <v>19</v>
      </c>
      <c r="D152" s="11" t="s">
        <v>20</v>
      </c>
      <c r="E152" s="11" t="s">
        <v>21</v>
      </c>
      <c r="F152" s="11" t="s">
        <v>22</v>
      </c>
      <c r="G152" s="11" t="s">
        <v>13</v>
      </c>
      <c r="H152" s="11">
        <v>3215</v>
      </c>
      <c r="I152" s="11">
        <v>2058</v>
      </c>
      <c r="K152" s="13">
        <v>43236</v>
      </c>
      <c r="L152">
        <v>4400</v>
      </c>
      <c r="AA152" s="1">
        <v>43241</v>
      </c>
      <c r="AB152">
        <v>3263</v>
      </c>
    </row>
    <row r="153" spans="1:28" x14ac:dyDescent="0.35">
      <c r="A153" s="11" t="s">
        <v>177</v>
      </c>
      <c r="B153" s="12">
        <v>43252</v>
      </c>
      <c r="C153" s="11" t="s">
        <v>24</v>
      </c>
      <c r="D153" s="11" t="s">
        <v>20</v>
      </c>
      <c r="E153" s="11" t="s">
        <v>21</v>
      </c>
      <c r="F153" s="11" t="s">
        <v>22</v>
      </c>
      <c r="G153" s="11" t="s">
        <v>13</v>
      </c>
      <c r="H153" s="11">
        <v>3685</v>
      </c>
      <c r="I153" s="11">
        <v>2543</v>
      </c>
      <c r="K153" s="13">
        <v>43237</v>
      </c>
      <c r="L153">
        <v>2466</v>
      </c>
      <c r="AA153" s="1">
        <v>43242</v>
      </c>
      <c r="AB153">
        <v>2946</v>
      </c>
    </row>
    <row r="154" spans="1:28" x14ac:dyDescent="0.35">
      <c r="A154" s="11" t="s">
        <v>178</v>
      </c>
      <c r="B154" s="12">
        <v>43253</v>
      </c>
      <c r="C154" s="11" t="s">
        <v>26</v>
      </c>
      <c r="D154" s="11" t="s">
        <v>20</v>
      </c>
      <c r="E154" s="11" t="s">
        <v>21</v>
      </c>
      <c r="F154" s="11" t="s">
        <v>22</v>
      </c>
      <c r="G154" s="11" t="s">
        <v>13</v>
      </c>
      <c r="H154" s="11">
        <v>4015</v>
      </c>
      <c r="I154" s="11">
        <v>2730</v>
      </c>
      <c r="K154" s="13">
        <v>43238</v>
      </c>
      <c r="L154">
        <v>2137</v>
      </c>
      <c r="AA154" s="1">
        <v>43243</v>
      </c>
      <c r="AB154">
        <v>2989</v>
      </c>
    </row>
    <row r="155" spans="1:28" x14ac:dyDescent="0.35">
      <c r="A155" s="11" t="s">
        <v>179</v>
      </c>
      <c r="B155" s="12">
        <v>43254</v>
      </c>
      <c r="C155" s="11" t="s">
        <v>28</v>
      </c>
      <c r="D155" s="11" t="s">
        <v>20</v>
      </c>
      <c r="E155" s="11" t="s">
        <v>21</v>
      </c>
      <c r="F155" s="11" t="s">
        <v>22</v>
      </c>
      <c r="G155" s="11" t="s">
        <v>13</v>
      </c>
      <c r="H155" s="11">
        <v>2517</v>
      </c>
      <c r="I155" s="11">
        <v>1661</v>
      </c>
      <c r="K155" s="13">
        <v>43239</v>
      </c>
      <c r="L155">
        <v>4216</v>
      </c>
      <c r="AA155" s="1">
        <v>43244</v>
      </c>
      <c r="AB155">
        <v>3463</v>
      </c>
    </row>
    <row r="156" spans="1:28" x14ac:dyDescent="0.35">
      <c r="A156" s="11" t="s">
        <v>180</v>
      </c>
      <c r="B156" s="12">
        <v>43255</v>
      </c>
      <c r="C156" s="11" t="s">
        <v>30</v>
      </c>
      <c r="D156" s="11" t="s">
        <v>20</v>
      </c>
      <c r="E156" s="11" t="s">
        <v>21</v>
      </c>
      <c r="F156" s="11" t="s">
        <v>22</v>
      </c>
      <c r="G156" s="11" t="s">
        <v>13</v>
      </c>
      <c r="H156" s="11">
        <v>2598</v>
      </c>
      <c r="I156" s="11">
        <v>1793</v>
      </c>
      <c r="K156" s="13">
        <v>43240</v>
      </c>
      <c r="L156">
        <v>3165</v>
      </c>
      <c r="AA156" s="1">
        <v>43245</v>
      </c>
      <c r="AB156">
        <v>2677</v>
      </c>
    </row>
    <row r="157" spans="1:28" x14ac:dyDescent="0.35">
      <c r="A157" s="11" t="s">
        <v>181</v>
      </c>
      <c r="B157" s="12">
        <v>43256</v>
      </c>
      <c r="C157" s="11" t="s">
        <v>32</v>
      </c>
      <c r="D157" s="11" t="s">
        <v>33</v>
      </c>
      <c r="E157" s="11" t="s">
        <v>34</v>
      </c>
      <c r="F157" s="11" t="s">
        <v>35</v>
      </c>
      <c r="G157" s="11" t="s">
        <v>36</v>
      </c>
      <c r="H157" s="11">
        <v>3513</v>
      </c>
      <c r="I157" s="11">
        <v>2740</v>
      </c>
      <c r="K157" s="13">
        <v>43241</v>
      </c>
      <c r="L157">
        <v>3263</v>
      </c>
      <c r="AA157" s="1">
        <v>43246</v>
      </c>
      <c r="AB157">
        <v>2966</v>
      </c>
    </row>
    <row r="158" spans="1:28" x14ac:dyDescent="0.35">
      <c r="A158" s="11" t="s">
        <v>182</v>
      </c>
      <c r="B158" s="12">
        <v>43257</v>
      </c>
      <c r="C158" s="11" t="s">
        <v>38</v>
      </c>
      <c r="D158" s="11" t="s">
        <v>39</v>
      </c>
      <c r="E158" s="11" t="s">
        <v>40</v>
      </c>
      <c r="F158" s="11" t="s">
        <v>41</v>
      </c>
      <c r="G158" s="11" t="s">
        <v>42</v>
      </c>
      <c r="H158" s="11">
        <v>2247</v>
      </c>
      <c r="I158" s="11">
        <v>1775</v>
      </c>
      <c r="K158" s="13">
        <v>43242</v>
      </c>
      <c r="L158">
        <v>2946</v>
      </c>
      <c r="AA158" s="1">
        <v>43247</v>
      </c>
      <c r="AB158">
        <v>2106</v>
      </c>
    </row>
    <row r="159" spans="1:28" x14ac:dyDescent="0.35">
      <c r="A159" s="11" t="s">
        <v>183</v>
      </c>
      <c r="B159" s="12">
        <v>43258</v>
      </c>
      <c r="C159" s="11" t="s">
        <v>44</v>
      </c>
      <c r="D159" s="11" t="s">
        <v>33</v>
      </c>
      <c r="E159" s="11" t="s">
        <v>45</v>
      </c>
      <c r="F159" s="11" t="s">
        <v>46</v>
      </c>
      <c r="G159" s="11" t="s">
        <v>36</v>
      </c>
      <c r="H159" s="11">
        <v>2878</v>
      </c>
      <c r="I159" s="11">
        <v>1784</v>
      </c>
      <c r="K159" s="13">
        <v>43243</v>
      </c>
      <c r="L159">
        <v>2989</v>
      </c>
      <c r="AA159" s="1">
        <v>43248</v>
      </c>
      <c r="AB159">
        <v>3664</v>
      </c>
    </row>
    <row r="160" spans="1:28" x14ac:dyDescent="0.35">
      <c r="A160" s="11" t="s">
        <v>184</v>
      </c>
      <c r="B160" s="12">
        <v>43259</v>
      </c>
      <c r="C160" s="11" t="s">
        <v>48</v>
      </c>
      <c r="D160" s="11" t="s">
        <v>49</v>
      </c>
      <c r="E160" s="11" t="s">
        <v>50</v>
      </c>
      <c r="F160" s="11" t="s">
        <v>51</v>
      </c>
      <c r="G160" s="11" t="s">
        <v>42</v>
      </c>
      <c r="H160" s="11">
        <v>3425</v>
      </c>
      <c r="I160" s="11">
        <v>2706</v>
      </c>
      <c r="K160" s="13">
        <v>43244</v>
      </c>
      <c r="L160">
        <v>3463</v>
      </c>
      <c r="AA160" s="1">
        <v>43249</v>
      </c>
      <c r="AB160">
        <v>3069</v>
      </c>
    </row>
    <row r="161" spans="1:28" x14ac:dyDescent="0.35">
      <c r="A161" s="11" t="s">
        <v>185</v>
      </c>
      <c r="B161" s="12">
        <v>43260</v>
      </c>
      <c r="C161" s="11" t="s">
        <v>53</v>
      </c>
      <c r="D161" s="11" t="s">
        <v>49</v>
      </c>
      <c r="E161" s="11" t="s">
        <v>54</v>
      </c>
      <c r="F161" s="11" t="s">
        <v>55</v>
      </c>
      <c r="G161" s="11" t="s">
        <v>42</v>
      </c>
      <c r="H161" s="11">
        <v>2865</v>
      </c>
      <c r="I161" s="11">
        <v>2091</v>
      </c>
      <c r="K161" s="13">
        <v>43245</v>
      </c>
      <c r="L161">
        <v>2677</v>
      </c>
      <c r="AA161" s="1">
        <v>43250</v>
      </c>
      <c r="AB161">
        <v>3755</v>
      </c>
    </row>
    <row r="162" spans="1:28" x14ac:dyDescent="0.35">
      <c r="A162" s="11" t="s">
        <v>186</v>
      </c>
      <c r="B162" s="12">
        <v>43261</v>
      </c>
      <c r="C162" s="11" t="s">
        <v>57</v>
      </c>
      <c r="D162" s="11" t="s">
        <v>49</v>
      </c>
      <c r="E162" s="11" t="s">
        <v>54</v>
      </c>
      <c r="F162" s="11" t="s">
        <v>55</v>
      </c>
      <c r="G162" s="11" t="s">
        <v>42</v>
      </c>
      <c r="H162" s="11">
        <v>2393</v>
      </c>
      <c r="I162" s="11">
        <v>1723</v>
      </c>
      <c r="K162" s="13">
        <v>43246</v>
      </c>
      <c r="L162">
        <v>2966</v>
      </c>
      <c r="AA162" s="1">
        <v>43251</v>
      </c>
      <c r="AB162">
        <v>3215</v>
      </c>
    </row>
    <row r="163" spans="1:28" x14ac:dyDescent="0.35">
      <c r="A163" s="11" t="s">
        <v>187</v>
      </c>
      <c r="B163" s="12">
        <v>43262</v>
      </c>
      <c r="C163" s="11" t="s">
        <v>59</v>
      </c>
      <c r="D163" s="11" t="s">
        <v>60</v>
      </c>
      <c r="E163" s="11" t="s">
        <v>61</v>
      </c>
      <c r="F163" s="11" t="s">
        <v>62</v>
      </c>
      <c r="G163" s="11" t="s">
        <v>13</v>
      </c>
      <c r="H163" s="11">
        <v>3149</v>
      </c>
      <c r="I163" s="11">
        <v>2299</v>
      </c>
      <c r="K163" s="13">
        <v>43247</v>
      </c>
      <c r="L163">
        <v>2106</v>
      </c>
      <c r="Z163" t="s">
        <v>415</v>
      </c>
      <c r="AB163">
        <v>99656</v>
      </c>
    </row>
    <row r="164" spans="1:28" x14ac:dyDescent="0.35">
      <c r="A164" s="11" t="s">
        <v>188</v>
      </c>
      <c r="B164" s="12">
        <v>43263</v>
      </c>
      <c r="C164" s="11" t="s">
        <v>64</v>
      </c>
      <c r="D164" s="11" t="s">
        <v>20</v>
      </c>
      <c r="E164" s="11" t="s">
        <v>65</v>
      </c>
      <c r="F164" s="11" t="s">
        <v>66</v>
      </c>
      <c r="G164" s="11" t="s">
        <v>13</v>
      </c>
      <c r="H164" s="11">
        <v>3277</v>
      </c>
      <c r="I164" s="11">
        <v>2130</v>
      </c>
      <c r="K164" s="13">
        <v>43248</v>
      </c>
      <c r="L164">
        <v>3664</v>
      </c>
      <c r="Z164" t="s">
        <v>396</v>
      </c>
      <c r="AA164" s="1">
        <v>43252</v>
      </c>
      <c r="AB164">
        <v>3685</v>
      </c>
    </row>
    <row r="165" spans="1:28" x14ac:dyDescent="0.35">
      <c r="A165" s="11" t="s">
        <v>189</v>
      </c>
      <c r="B165" s="12">
        <v>43264</v>
      </c>
      <c r="C165" s="11" t="s">
        <v>68</v>
      </c>
      <c r="D165" s="11" t="s">
        <v>69</v>
      </c>
      <c r="E165" s="11" t="s">
        <v>70</v>
      </c>
      <c r="F165" s="11" t="s">
        <v>71</v>
      </c>
      <c r="G165" s="11" t="s">
        <v>13</v>
      </c>
      <c r="H165" s="11">
        <v>2713</v>
      </c>
      <c r="I165" s="11">
        <v>1682</v>
      </c>
      <c r="K165" s="13">
        <v>43249</v>
      </c>
      <c r="L165">
        <v>3069</v>
      </c>
      <c r="AA165" s="1">
        <v>43253</v>
      </c>
      <c r="AB165">
        <v>4015</v>
      </c>
    </row>
    <row r="166" spans="1:28" x14ac:dyDescent="0.35">
      <c r="A166" s="11" t="s">
        <v>190</v>
      </c>
      <c r="B166" s="12">
        <v>43265</v>
      </c>
      <c r="C166" s="11" t="s">
        <v>73</v>
      </c>
      <c r="D166" s="11" t="s">
        <v>69</v>
      </c>
      <c r="E166" s="11" t="s">
        <v>70</v>
      </c>
      <c r="F166" s="11" t="s">
        <v>71</v>
      </c>
      <c r="G166" s="11" t="s">
        <v>13</v>
      </c>
      <c r="H166" s="11">
        <v>3381</v>
      </c>
      <c r="I166" s="11">
        <v>2231</v>
      </c>
      <c r="K166" s="13">
        <v>43250</v>
      </c>
      <c r="L166">
        <v>3755</v>
      </c>
      <c r="AA166" s="1">
        <v>43254</v>
      </c>
      <c r="AB166">
        <v>2517</v>
      </c>
    </row>
    <row r="167" spans="1:28" x14ac:dyDescent="0.35">
      <c r="A167" s="11" t="s">
        <v>191</v>
      </c>
      <c r="B167" s="12">
        <v>43266</v>
      </c>
      <c r="C167" s="11" t="s">
        <v>75</v>
      </c>
      <c r="D167" s="11" t="s">
        <v>49</v>
      </c>
      <c r="E167" s="11" t="s">
        <v>50</v>
      </c>
      <c r="F167" s="11" t="s">
        <v>76</v>
      </c>
      <c r="G167" s="11" t="s">
        <v>42</v>
      </c>
      <c r="H167" s="11">
        <v>2545</v>
      </c>
      <c r="I167" s="11">
        <v>2011</v>
      </c>
      <c r="K167" s="13">
        <v>43251</v>
      </c>
      <c r="L167">
        <v>3215</v>
      </c>
      <c r="AA167" s="1">
        <v>43255</v>
      </c>
      <c r="AB167">
        <v>2598</v>
      </c>
    </row>
    <row r="168" spans="1:28" x14ac:dyDescent="0.35">
      <c r="A168" s="11" t="s">
        <v>192</v>
      </c>
      <c r="B168" s="12">
        <v>43267</v>
      </c>
      <c r="C168" s="11" t="s">
        <v>78</v>
      </c>
      <c r="D168" s="11" t="s">
        <v>49</v>
      </c>
      <c r="E168" s="11" t="s">
        <v>50</v>
      </c>
      <c r="F168" s="11" t="s">
        <v>76</v>
      </c>
      <c r="G168" s="11" t="s">
        <v>42</v>
      </c>
      <c r="H168" s="11">
        <v>4473</v>
      </c>
      <c r="I168" s="11">
        <v>2729</v>
      </c>
      <c r="K168" s="8" t="s">
        <v>396</v>
      </c>
      <c r="L168">
        <v>92585</v>
      </c>
      <c r="AA168" s="1">
        <v>43256</v>
      </c>
      <c r="AB168">
        <v>3513</v>
      </c>
    </row>
    <row r="169" spans="1:28" x14ac:dyDescent="0.35">
      <c r="A169" s="11" t="s">
        <v>193</v>
      </c>
      <c r="B169" s="12">
        <v>43268</v>
      </c>
      <c r="C169" s="11" t="s">
        <v>80</v>
      </c>
      <c r="D169" s="11" t="s">
        <v>49</v>
      </c>
      <c r="E169" s="11" t="s">
        <v>50</v>
      </c>
      <c r="F169" s="11" t="s">
        <v>76</v>
      </c>
      <c r="G169" s="11" t="s">
        <v>42</v>
      </c>
      <c r="H169" s="11">
        <v>3332</v>
      </c>
      <c r="I169" s="11">
        <v>2132</v>
      </c>
      <c r="K169" s="13">
        <v>43252</v>
      </c>
      <c r="L169">
        <v>3685</v>
      </c>
      <c r="AA169" s="1">
        <v>43257</v>
      </c>
      <c r="AB169">
        <v>2247</v>
      </c>
    </row>
    <row r="170" spans="1:28" x14ac:dyDescent="0.35">
      <c r="A170" s="11" t="s">
        <v>194</v>
      </c>
      <c r="B170" s="12">
        <v>43269</v>
      </c>
      <c r="C170" s="11" t="s">
        <v>10</v>
      </c>
      <c r="D170" s="11" t="s">
        <v>11</v>
      </c>
      <c r="E170" s="11" t="s">
        <v>12</v>
      </c>
      <c r="F170" s="11" t="s">
        <v>12</v>
      </c>
      <c r="G170" s="11" t="s">
        <v>13</v>
      </c>
      <c r="H170" s="11">
        <v>2283</v>
      </c>
      <c r="I170" s="11">
        <v>1438</v>
      </c>
      <c r="K170" s="13">
        <v>43253</v>
      </c>
      <c r="L170">
        <v>4015</v>
      </c>
      <c r="AA170" s="1">
        <v>43258</v>
      </c>
      <c r="AB170">
        <v>2878</v>
      </c>
    </row>
    <row r="171" spans="1:28" x14ac:dyDescent="0.35">
      <c r="A171" s="11" t="s">
        <v>195</v>
      </c>
      <c r="B171" s="12">
        <v>43270</v>
      </c>
      <c r="C171" s="11" t="s">
        <v>15</v>
      </c>
      <c r="D171" s="11" t="s">
        <v>11</v>
      </c>
      <c r="E171" s="11" t="s">
        <v>12</v>
      </c>
      <c r="F171" s="11" t="s">
        <v>12</v>
      </c>
      <c r="G171" s="11" t="s">
        <v>13</v>
      </c>
      <c r="H171" s="11">
        <v>2696</v>
      </c>
      <c r="I171" s="11">
        <v>1833</v>
      </c>
      <c r="K171" s="13">
        <v>43254</v>
      </c>
      <c r="L171">
        <v>2517</v>
      </c>
      <c r="AA171" s="1">
        <v>43259</v>
      </c>
      <c r="AB171">
        <v>3425</v>
      </c>
    </row>
    <row r="172" spans="1:28" x14ac:dyDescent="0.35">
      <c r="A172" s="11" t="s">
        <v>196</v>
      </c>
      <c r="B172" s="12">
        <v>43271</v>
      </c>
      <c r="C172" s="11" t="s">
        <v>17</v>
      </c>
      <c r="D172" s="11" t="s">
        <v>11</v>
      </c>
      <c r="E172" s="11" t="s">
        <v>12</v>
      </c>
      <c r="F172" s="11" t="s">
        <v>12</v>
      </c>
      <c r="G172" s="11" t="s">
        <v>13</v>
      </c>
      <c r="H172" s="11">
        <v>4061</v>
      </c>
      <c r="I172" s="11">
        <v>3127</v>
      </c>
      <c r="K172" s="13">
        <v>43255</v>
      </c>
      <c r="L172">
        <v>2598</v>
      </c>
      <c r="AA172" s="1">
        <v>43260</v>
      </c>
      <c r="AB172">
        <v>2865</v>
      </c>
    </row>
    <row r="173" spans="1:28" x14ac:dyDescent="0.35">
      <c r="A173" s="11" t="s">
        <v>197</v>
      </c>
      <c r="B173" s="12">
        <v>43272</v>
      </c>
      <c r="C173" s="11" t="s">
        <v>19</v>
      </c>
      <c r="D173" s="11" t="s">
        <v>20</v>
      </c>
      <c r="E173" s="11" t="s">
        <v>21</v>
      </c>
      <c r="F173" s="11" t="s">
        <v>22</v>
      </c>
      <c r="G173" s="11" t="s">
        <v>13</v>
      </c>
      <c r="H173" s="11">
        <v>2382</v>
      </c>
      <c r="I173" s="11">
        <v>1548</v>
      </c>
      <c r="K173" s="13">
        <v>43256</v>
      </c>
      <c r="L173">
        <v>3513</v>
      </c>
      <c r="AA173" s="1">
        <v>43261</v>
      </c>
      <c r="AB173">
        <v>2393</v>
      </c>
    </row>
    <row r="174" spans="1:28" x14ac:dyDescent="0.35">
      <c r="A174" s="11" t="s">
        <v>198</v>
      </c>
      <c r="B174" s="12">
        <v>43273</v>
      </c>
      <c r="C174" s="11" t="s">
        <v>24</v>
      </c>
      <c r="D174" s="11" t="s">
        <v>20</v>
      </c>
      <c r="E174" s="11" t="s">
        <v>21</v>
      </c>
      <c r="F174" s="11" t="s">
        <v>22</v>
      </c>
      <c r="G174" s="11" t="s">
        <v>13</v>
      </c>
      <c r="H174" s="11">
        <v>4336</v>
      </c>
      <c r="I174" s="11">
        <v>2602</v>
      </c>
      <c r="K174" s="13">
        <v>43257</v>
      </c>
      <c r="L174">
        <v>2247</v>
      </c>
      <c r="AA174" s="1">
        <v>43262</v>
      </c>
      <c r="AB174">
        <v>3149</v>
      </c>
    </row>
    <row r="175" spans="1:28" x14ac:dyDescent="0.35">
      <c r="A175" s="11" t="s">
        <v>199</v>
      </c>
      <c r="B175" s="12">
        <v>43274</v>
      </c>
      <c r="C175" s="11" t="s">
        <v>26</v>
      </c>
      <c r="D175" s="11" t="s">
        <v>20</v>
      </c>
      <c r="E175" s="11" t="s">
        <v>21</v>
      </c>
      <c r="F175" s="11" t="s">
        <v>22</v>
      </c>
      <c r="G175" s="11" t="s">
        <v>13</v>
      </c>
      <c r="H175" s="11">
        <v>2602</v>
      </c>
      <c r="I175" s="11">
        <v>2004</v>
      </c>
      <c r="K175" s="13">
        <v>43258</v>
      </c>
      <c r="L175">
        <v>2878</v>
      </c>
      <c r="AA175" s="1">
        <v>43263</v>
      </c>
      <c r="AB175">
        <v>3277</v>
      </c>
    </row>
    <row r="176" spans="1:28" x14ac:dyDescent="0.35">
      <c r="A176" s="11" t="s">
        <v>200</v>
      </c>
      <c r="B176" s="12">
        <v>43275</v>
      </c>
      <c r="C176" s="11" t="s">
        <v>28</v>
      </c>
      <c r="D176" s="11" t="s">
        <v>20</v>
      </c>
      <c r="E176" s="11" t="s">
        <v>21</v>
      </c>
      <c r="F176" s="11" t="s">
        <v>22</v>
      </c>
      <c r="G176" s="11" t="s">
        <v>13</v>
      </c>
      <c r="H176" s="11">
        <v>3094</v>
      </c>
      <c r="I176" s="11">
        <v>2073</v>
      </c>
      <c r="K176" s="13">
        <v>43259</v>
      </c>
      <c r="L176">
        <v>3425</v>
      </c>
      <c r="AA176" s="1">
        <v>43264</v>
      </c>
      <c r="AB176">
        <v>2713</v>
      </c>
    </row>
    <row r="177" spans="1:28" x14ac:dyDescent="0.35">
      <c r="A177" s="11" t="s">
        <v>201</v>
      </c>
      <c r="B177" s="12">
        <v>43276</v>
      </c>
      <c r="C177" s="11" t="s">
        <v>30</v>
      </c>
      <c r="D177" s="11" t="s">
        <v>20</v>
      </c>
      <c r="E177" s="11" t="s">
        <v>21</v>
      </c>
      <c r="F177" s="11" t="s">
        <v>22</v>
      </c>
      <c r="G177" s="11" t="s">
        <v>13</v>
      </c>
      <c r="H177" s="11">
        <v>3510</v>
      </c>
      <c r="I177" s="11">
        <v>2141</v>
      </c>
      <c r="K177" s="13">
        <v>43260</v>
      </c>
      <c r="L177">
        <v>2865</v>
      </c>
      <c r="AA177" s="1">
        <v>43265</v>
      </c>
      <c r="AB177">
        <v>3381</v>
      </c>
    </row>
    <row r="178" spans="1:28" x14ac:dyDescent="0.35">
      <c r="A178" s="11" t="s">
        <v>202</v>
      </c>
      <c r="B178" s="12">
        <v>43277</v>
      </c>
      <c r="C178" s="11" t="s">
        <v>32</v>
      </c>
      <c r="D178" s="11" t="s">
        <v>33</v>
      </c>
      <c r="E178" s="11" t="s">
        <v>34</v>
      </c>
      <c r="F178" s="11" t="s">
        <v>35</v>
      </c>
      <c r="G178" s="11" t="s">
        <v>36</v>
      </c>
      <c r="H178" s="11">
        <v>2134</v>
      </c>
      <c r="I178" s="11">
        <v>1536</v>
      </c>
      <c r="K178" s="13">
        <v>43261</v>
      </c>
      <c r="L178">
        <v>2393</v>
      </c>
      <c r="AA178" s="1">
        <v>43266</v>
      </c>
      <c r="AB178">
        <v>2545</v>
      </c>
    </row>
    <row r="179" spans="1:28" x14ac:dyDescent="0.35">
      <c r="A179" s="11" t="s">
        <v>203</v>
      </c>
      <c r="B179" s="12">
        <v>43278</v>
      </c>
      <c r="C179" s="11" t="s">
        <v>38</v>
      </c>
      <c r="D179" s="11" t="s">
        <v>39</v>
      </c>
      <c r="E179" s="11" t="s">
        <v>40</v>
      </c>
      <c r="F179" s="11" t="s">
        <v>41</v>
      </c>
      <c r="G179" s="11" t="s">
        <v>42</v>
      </c>
      <c r="H179" s="11">
        <v>2661</v>
      </c>
      <c r="I179" s="11">
        <v>2022</v>
      </c>
      <c r="K179" s="13">
        <v>43262</v>
      </c>
      <c r="L179">
        <v>3149</v>
      </c>
      <c r="AA179" s="1">
        <v>43267</v>
      </c>
      <c r="AB179">
        <v>4473</v>
      </c>
    </row>
    <row r="180" spans="1:28" x14ac:dyDescent="0.35">
      <c r="A180" s="11" t="s">
        <v>204</v>
      </c>
      <c r="B180" s="12">
        <v>43279</v>
      </c>
      <c r="C180" s="11" t="s">
        <v>44</v>
      </c>
      <c r="D180" s="11" t="s">
        <v>33</v>
      </c>
      <c r="E180" s="11" t="s">
        <v>45</v>
      </c>
      <c r="F180" s="11" t="s">
        <v>46</v>
      </c>
      <c r="G180" s="11" t="s">
        <v>36</v>
      </c>
      <c r="H180" s="11">
        <v>2901</v>
      </c>
      <c r="I180" s="11">
        <v>1741</v>
      </c>
      <c r="K180" s="13">
        <v>43263</v>
      </c>
      <c r="L180">
        <v>3277</v>
      </c>
      <c r="AA180" s="1">
        <v>43268</v>
      </c>
      <c r="AB180">
        <v>3332</v>
      </c>
    </row>
    <row r="181" spans="1:28" x14ac:dyDescent="0.35">
      <c r="A181" s="11" t="s">
        <v>205</v>
      </c>
      <c r="B181" s="12">
        <v>43280</v>
      </c>
      <c r="C181" s="11" t="s">
        <v>48</v>
      </c>
      <c r="D181" s="11" t="s">
        <v>49</v>
      </c>
      <c r="E181" s="11" t="s">
        <v>50</v>
      </c>
      <c r="F181" s="11" t="s">
        <v>51</v>
      </c>
      <c r="G181" s="11" t="s">
        <v>42</v>
      </c>
      <c r="H181" s="11">
        <v>3784</v>
      </c>
      <c r="I181" s="11">
        <v>2384</v>
      </c>
      <c r="K181" s="13">
        <v>43264</v>
      </c>
      <c r="L181">
        <v>2713</v>
      </c>
      <c r="AA181" s="1">
        <v>43269</v>
      </c>
      <c r="AB181">
        <v>2283</v>
      </c>
    </row>
    <row r="182" spans="1:28" x14ac:dyDescent="0.35">
      <c r="A182" s="11" t="s">
        <v>206</v>
      </c>
      <c r="B182" s="12">
        <v>43281</v>
      </c>
      <c r="C182" s="11" t="s">
        <v>53</v>
      </c>
      <c r="D182" s="11" t="s">
        <v>49</v>
      </c>
      <c r="E182" s="11" t="s">
        <v>54</v>
      </c>
      <c r="F182" s="11" t="s">
        <v>55</v>
      </c>
      <c r="G182" s="11" t="s">
        <v>42</v>
      </c>
      <c r="H182" s="11">
        <v>3135</v>
      </c>
      <c r="I182" s="11">
        <v>2445</v>
      </c>
      <c r="K182" s="13">
        <v>43265</v>
      </c>
      <c r="L182">
        <v>3381</v>
      </c>
      <c r="AA182" s="1">
        <v>43270</v>
      </c>
      <c r="AB182">
        <v>2696</v>
      </c>
    </row>
    <row r="183" spans="1:28" x14ac:dyDescent="0.35">
      <c r="A183" s="11" t="s">
        <v>207</v>
      </c>
      <c r="B183" s="12">
        <v>43282</v>
      </c>
      <c r="C183" s="11" t="s">
        <v>57</v>
      </c>
      <c r="D183" s="11" t="s">
        <v>49</v>
      </c>
      <c r="E183" s="11" t="s">
        <v>54</v>
      </c>
      <c r="F183" s="11" t="s">
        <v>55</v>
      </c>
      <c r="G183" s="11" t="s">
        <v>42</v>
      </c>
      <c r="H183" s="11">
        <v>2802</v>
      </c>
      <c r="I183" s="11">
        <v>1877</v>
      </c>
      <c r="K183" s="13">
        <v>43266</v>
      </c>
      <c r="L183">
        <v>2545</v>
      </c>
      <c r="AA183" s="1">
        <v>43271</v>
      </c>
      <c r="AB183">
        <v>4061</v>
      </c>
    </row>
    <row r="184" spans="1:28" x14ac:dyDescent="0.35">
      <c r="A184" s="11" t="s">
        <v>208</v>
      </c>
      <c r="B184" s="12">
        <v>43283</v>
      </c>
      <c r="C184" s="11" t="s">
        <v>59</v>
      </c>
      <c r="D184" s="11" t="s">
        <v>60</v>
      </c>
      <c r="E184" s="11" t="s">
        <v>61</v>
      </c>
      <c r="F184" s="11" t="s">
        <v>62</v>
      </c>
      <c r="G184" s="11" t="s">
        <v>13</v>
      </c>
      <c r="H184" s="11">
        <v>3486</v>
      </c>
      <c r="I184" s="11">
        <v>2789</v>
      </c>
      <c r="K184" s="13">
        <v>43267</v>
      </c>
      <c r="L184">
        <v>4473</v>
      </c>
      <c r="AA184" s="1">
        <v>43272</v>
      </c>
      <c r="AB184">
        <v>2382</v>
      </c>
    </row>
    <row r="185" spans="1:28" x14ac:dyDescent="0.35">
      <c r="A185" s="11" t="s">
        <v>209</v>
      </c>
      <c r="B185" s="12">
        <v>43284</v>
      </c>
      <c r="C185" s="11" t="s">
        <v>64</v>
      </c>
      <c r="D185" s="11" t="s">
        <v>20</v>
      </c>
      <c r="E185" s="11" t="s">
        <v>65</v>
      </c>
      <c r="F185" s="11" t="s">
        <v>66</v>
      </c>
      <c r="G185" s="11" t="s">
        <v>13</v>
      </c>
      <c r="H185" s="11">
        <v>3422</v>
      </c>
      <c r="I185" s="11">
        <v>2122</v>
      </c>
      <c r="K185" s="13">
        <v>43268</v>
      </c>
      <c r="L185">
        <v>3332</v>
      </c>
      <c r="AA185" s="1">
        <v>43273</v>
      </c>
      <c r="AB185">
        <v>4336</v>
      </c>
    </row>
    <row r="186" spans="1:28" x14ac:dyDescent="0.35">
      <c r="A186" s="11" t="s">
        <v>210</v>
      </c>
      <c r="B186" s="12">
        <v>43285</v>
      </c>
      <c r="C186" s="11" t="s">
        <v>68</v>
      </c>
      <c r="D186" s="11" t="s">
        <v>69</v>
      </c>
      <c r="E186" s="11" t="s">
        <v>70</v>
      </c>
      <c r="F186" s="11" t="s">
        <v>71</v>
      </c>
      <c r="G186" s="11" t="s">
        <v>13</v>
      </c>
      <c r="H186" s="11">
        <v>2842</v>
      </c>
      <c r="I186" s="11">
        <v>2188</v>
      </c>
      <c r="K186" s="13">
        <v>43269</v>
      </c>
      <c r="L186">
        <v>2283</v>
      </c>
      <c r="AA186" s="1">
        <v>43274</v>
      </c>
      <c r="AB186">
        <v>2602</v>
      </c>
    </row>
    <row r="187" spans="1:28" x14ac:dyDescent="0.35">
      <c r="A187" s="11" t="s">
        <v>211</v>
      </c>
      <c r="B187" s="12">
        <v>43286</v>
      </c>
      <c r="C187" s="11" t="s">
        <v>73</v>
      </c>
      <c r="D187" s="11" t="s">
        <v>69</v>
      </c>
      <c r="E187" s="11" t="s">
        <v>70</v>
      </c>
      <c r="F187" s="11" t="s">
        <v>71</v>
      </c>
      <c r="G187" s="11" t="s">
        <v>13</v>
      </c>
      <c r="H187" s="11">
        <v>3846</v>
      </c>
      <c r="I187" s="11">
        <v>2500</v>
      </c>
      <c r="K187" s="13">
        <v>43270</v>
      </c>
      <c r="L187">
        <v>2696</v>
      </c>
      <c r="AA187" s="1">
        <v>43275</v>
      </c>
      <c r="AB187">
        <v>3094</v>
      </c>
    </row>
    <row r="188" spans="1:28" x14ac:dyDescent="0.35">
      <c r="A188" s="11" t="s">
        <v>212</v>
      </c>
      <c r="B188" s="12">
        <v>43287</v>
      </c>
      <c r="C188" s="11" t="s">
        <v>75</v>
      </c>
      <c r="D188" s="11" t="s">
        <v>49</v>
      </c>
      <c r="E188" s="11" t="s">
        <v>50</v>
      </c>
      <c r="F188" s="11" t="s">
        <v>76</v>
      </c>
      <c r="G188" s="11" t="s">
        <v>42</v>
      </c>
      <c r="H188" s="11">
        <v>3131</v>
      </c>
      <c r="I188" s="11">
        <v>2380</v>
      </c>
      <c r="K188" s="13">
        <v>43271</v>
      </c>
      <c r="L188">
        <v>4061</v>
      </c>
      <c r="AA188" s="1">
        <v>43276</v>
      </c>
      <c r="AB188">
        <v>3510</v>
      </c>
    </row>
    <row r="189" spans="1:28" x14ac:dyDescent="0.35">
      <c r="A189" s="11" t="s">
        <v>213</v>
      </c>
      <c r="B189" s="12">
        <v>43288</v>
      </c>
      <c r="C189" s="11" t="s">
        <v>78</v>
      </c>
      <c r="D189" s="11" t="s">
        <v>49</v>
      </c>
      <c r="E189" s="11" t="s">
        <v>50</v>
      </c>
      <c r="F189" s="11" t="s">
        <v>76</v>
      </c>
      <c r="G189" s="11" t="s">
        <v>42</v>
      </c>
      <c r="H189" s="11">
        <v>3825</v>
      </c>
      <c r="I189" s="11">
        <v>2333</v>
      </c>
      <c r="K189" s="13">
        <v>43272</v>
      </c>
      <c r="L189">
        <v>2382</v>
      </c>
      <c r="AA189" s="1">
        <v>43277</v>
      </c>
      <c r="AB189">
        <v>2134</v>
      </c>
    </row>
    <row r="190" spans="1:28" x14ac:dyDescent="0.35">
      <c r="A190" s="11" t="s">
        <v>214</v>
      </c>
      <c r="B190" s="12">
        <v>43289</v>
      </c>
      <c r="C190" s="11" t="s">
        <v>80</v>
      </c>
      <c r="D190" s="11" t="s">
        <v>49</v>
      </c>
      <c r="E190" s="11" t="s">
        <v>50</v>
      </c>
      <c r="F190" s="11" t="s">
        <v>76</v>
      </c>
      <c r="G190" s="11" t="s">
        <v>42</v>
      </c>
      <c r="H190" s="11">
        <v>4362</v>
      </c>
      <c r="I190" s="11">
        <v>3446</v>
      </c>
      <c r="K190" s="13">
        <v>43273</v>
      </c>
      <c r="L190">
        <v>4336</v>
      </c>
      <c r="AA190" s="1">
        <v>43278</v>
      </c>
      <c r="AB190">
        <v>2661</v>
      </c>
    </row>
    <row r="191" spans="1:28" x14ac:dyDescent="0.35">
      <c r="A191" s="11" t="s">
        <v>215</v>
      </c>
      <c r="B191" s="12">
        <v>43290</v>
      </c>
      <c r="C191" s="11" t="s">
        <v>10</v>
      </c>
      <c r="D191" s="11" t="s">
        <v>11</v>
      </c>
      <c r="E191" s="11" t="s">
        <v>12</v>
      </c>
      <c r="F191" s="11" t="s">
        <v>12</v>
      </c>
      <c r="G191" s="11" t="s">
        <v>13</v>
      </c>
      <c r="H191" s="11">
        <v>2934</v>
      </c>
      <c r="I191" s="11">
        <v>1819</v>
      </c>
      <c r="K191" s="13">
        <v>43274</v>
      </c>
      <c r="L191">
        <v>2602</v>
      </c>
      <c r="AA191" s="1">
        <v>43279</v>
      </c>
      <c r="AB191">
        <v>2901</v>
      </c>
    </row>
    <row r="192" spans="1:28" x14ac:dyDescent="0.35">
      <c r="A192" s="11" t="s">
        <v>216</v>
      </c>
      <c r="B192" s="12">
        <v>43291</v>
      </c>
      <c r="C192" s="11" t="s">
        <v>15</v>
      </c>
      <c r="D192" s="11" t="s">
        <v>11</v>
      </c>
      <c r="E192" s="11" t="s">
        <v>12</v>
      </c>
      <c r="F192" s="11" t="s">
        <v>12</v>
      </c>
      <c r="G192" s="11" t="s">
        <v>13</v>
      </c>
      <c r="H192" s="11">
        <v>4354</v>
      </c>
      <c r="I192" s="11">
        <v>2787</v>
      </c>
      <c r="K192" s="13">
        <v>43275</v>
      </c>
      <c r="L192">
        <v>3094</v>
      </c>
      <c r="AA192" s="1">
        <v>43280</v>
      </c>
      <c r="AB192">
        <v>3784</v>
      </c>
    </row>
    <row r="193" spans="1:28" x14ac:dyDescent="0.35">
      <c r="A193" s="11" t="s">
        <v>217</v>
      </c>
      <c r="B193" s="12">
        <v>43292</v>
      </c>
      <c r="C193" s="11" t="s">
        <v>17</v>
      </c>
      <c r="D193" s="11" t="s">
        <v>11</v>
      </c>
      <c r="E193" s="11" t="s">
        <v>12</v>
      </c>
      <c r="F193" s="11" t="s">
        <v>12</v>
      </c>
      <c r="G193" s="11" t="s">
        <v>13</v>
      </c>
      <c r="H193" s="11">
        <v>2102</v>
      </c>
      <c r="I193" s="11">
        <v>1534</v>
      </c>
      <c r="K193" s="13">
        <v>43276</v>
      </c>
      <c r="L193">
        <v>3510</v>
      </c>
      <c r="AA193" s="1">
        <v>43281</v>
      </c>
      <c r="AB193">
        <v>3135</v>
      </c>
    </row>
    <row r="194" spans="1:28" x14ac:dyDescent="0.35">
      <c r="A194" s="11" t="s">
        <v>218</v>
      </c>
      <c r="B194" s="12">
        <v>43293</v>
      </c>
      <c r="C194" s="11" t="s">
        <v>19</v>
      </c>
      <c r="D194" s="11" t="s">
        <v>20</v>
      </c>
      <c r="E194" s="11" t="s">
        <v>21</v>
      </c>
      <c r="F194" s="11" t="s">
        <v>22</v>
      </c>
      <c r="G194" s="11" t="s">
        <v>13</v>
      </c>
      <c r="H194" s="11">
        <v>3261</v>
      </c>
      <c r="I194" s="11">
        <v>2446</v>
      </c>
      <c r="K194" s="13">
        <v>43277</v>
      </c>
      <c r="L194">
        <v>2134</v>
      </c>
      <c r="Z194" t="s">
        <v>416</v>
      </c>
      <c r="AB194">
        <v>92585</v>
      </c>
    </row>
    <row r="195" spans="1:28" x14ac:dyDescent="0.35">
      <c r="A195" s="11" t="s">
        <v>219</v>
      </c>
      <c r="B195" s="12">
        <v>43294</v>
      </c>
      <c r="C195" s="11" t="s">
        <v>24</v>
      </c>
      <c r="D195" s="11" t="s">
        <v>20</v>
      </c>
      <c r="E195" s="11" t="s">
        <v>21</v>
      </c>
      <c r="F195" s="11" t="s">
        <v>22</v>
      </c>
      <c r="G195" s="11" t="s">
        <v>13</v>
      </c>
      <c r="H195" s="11">
        <v>2577</v>
      </c>
      <c r="I195" s="11">
        <v>1907</v>
      </c>
      <c r="K195" s="13">
        <v>43278</v>
      </c>
      <c r="L195">
        <v>2661</v>
      </c>
      <c r="Y195" t="s">
        <v>425</v>
      </c>
      <c r="AB195">
        <v>283414</v>
      </c>
    </row>
    <row r="196" spans="1:28" x14ac:dyDescent="0.35">
      <c r="A196" s="11" t="s">
        <v>220</v>
      </c>
      <c r="B196" s="12">
        <v>43295</v>
      </c>
      <c r="C196" s="11" t="s">
        <v>26</v>
      </c>
      <c r="D196" s="11" t="s">
        <v>20</v>
      </c>
      <c r="E196" s="11" t="s">
        <v>21</v>
      </c>
      <c r="F196" s="11" t="s">
        <v>22</v>
      </c>
      <c r="G196" s="11" t="s">
        <v>13</v>
      </c>
      <c r="H196" s="11">
        <v>3131</v>
      </c>
      <c r="I196" s="11">
        <v>1973</v>
      </c>
      <c r="K196" s="13">
        <v>43279</v>
      </c>
      <c r="L196">
        <v>2901</v>
      </c>
      <c r="Y196" t="s">
        <v>405</v>
      </c>
      <c r="Z196" t="s">
        <v>397</v>
      </c>
      <c r="AA196" s="1">
        <v>43282</v>
      </c>
      <c r="AB196">
        <v>2802</v>
      </c>
    </row>
    <row r="197" spans="1:28" x14ac:dyDescent="0.35">
      <c r="A197" s="11" t="s">
        <v>221</v>
      </c>
      <c r="B197" s="12">
        <v>43296</v>
      </c>
      <c r="C197" s="11" t="s">
        <v>28</v>
      </c>
      <c r="D197" s="11" t="s">
        <v>20</v>
      </c>
      <c r="E197" s="11" t="s">
        <v>21</v>
      </c>
      <c r="F197" s="11" t="s">
        <v>22</v>
      </c>
      <c r="G197" s="11" t="s">
        <v>13</v>
      </c>
      <c r="H197" s="11">
        <v>2683</v>
      </c>
      <c r="I197" s="11">
        <v>1798</v>
      </c>
      <c r="K197" s="13">
        <v>43280</v>
      </c>
      <c r="L197">
        <v>3784</v>
      </c>
      <c r="AA197" s="1">
        <v>43283</v>
      </c>
      <c r="AB197">
        <v>3486</v>
      </c>
    </row>
    <row r="198" spans="1:28" x14ac:dyDescent="0.35">
      <c r="A198" s="11" t="s">
        <v>222</v>
      </c>
      <c r="B198" s="12">
        <v>43297</v>
      </c>
      <c r="C198" s="11" t="s">
        <v>30</v>
      </c>
      <c r="D198" s="11" t="s">
        <v>20</v>
      </c>
      <c r="E198" s="11" t="s">
        <v>21</v>
      </c>
      <c r="F198" s="11" t="s">
        <v>22</v>
      </c>
      <c r="G198" s="11" t="s">
        <v>13</v>
      </c>
      <c r="H198" s="11">
        <v>2613</v>
      </c>
      <c r="I198" s="11">
        <v>1751</v>
      </c>
      <c r="K198" s="13">
        <v>43281</v>
      </c>
      <c r="L198">
        <v>3135</v>
      </c>
      <c r="AA198" s="1">
        <v>43284</v>
      </c>
      <c r="AB198">
        <v>3422</v>
      </c>
    </row>
    <row r="199" spans="1:28" x14ac:dyDescent="0.35">
      <c r="A199" s="11" t="s">
        <v>223</v>
      </c>
      <c r="B199" s="12">
        <v>43298</v>
      </c>
      <c r="C199" s="11" t="s">
        <v>32</v>
      </c>
      <c r="D199" s="11" t="s">
        <v>33</v>
      </c>
      <c r="E199" s="11" t="s">
        <v>34</v>
      </c>
      <c r="F199" s="11" t="s">
        <v>35</v>
      </c>
      <c r="G199" s="11" t="s">
        <v>36</v>
      </c>
      <c r="H199" s="11">
        <v>4076</v>
      </c>
      <c r="I199" s="11">
        <v>2609</v>
      </c>
      <c r="K199" s="7" t="s">
        <v>405</v>
      </c>
      <c r="L199">
        <v>290770</v>
      </c>
      <c r="AA199" s="1">
        <v>43285</v>
      </c>
      <c r="AB199">
        <v>2842</v>
      </c>
    </row>
    <row r="200" spans="1:28" x14ac:dyDescent="0.35">
      <c r="A200" s="11" t="s">
        <v>224</v>
      </c>
      <c r="B200" s="12">
        <v>43299</v>
      </c>
      <c r="C200" s="11" t="s">
        <v>38</v>
      </c>
      <c r="D200" s="11" t="s">
        <v>39</v>
      </c>
      <c r="E200" s="11" t="s">
        <v>40</v>
      </c>
      <c r="F200" s="11" t="s">
        <v>41</v>
      </c>
      <c r="G200" s="11" t="s">
        <v>42</v>
      </c>
      <c r="H200" s="11">
        <v>4400</v>
      </c>
      <c r="I200" s="11">
        <v>3432</v>
      </c>
      <c r="K200" s="8" t="s">
        <v>397</v>
      </c>
      <c r="L200">
        <v>98974</v>
      </c>
      <c r="AA200" s="1">
        <v>43286</v>
      </c>
      <c r="AB200">
        <v>3846</v>
      </c>
    </row>
    <row r="201" spans="1:28" x14ac:dyDescent="0.35">
      <c r="A201" s="11" t="s">
        <v>225</v>
      </c>
      <c r="B201" s="12">
        <v>43300</v>
      </c>
      <c r="C201" s="11" t="s">
        <v>44</v>
      </c>
      <c r="D201" s="11" t="s">
        <v>33</v>
      </c>
      <c r="E201" s="11" t="s">
        <v>45</v>
      </c>
      <c r="F201" s="11" t="s">
        <v>46</v>
      </c>
      <c r="G201" s="11" t="s">
        <v>36</v>
      </c>
      <c r="H201" s="11">
        <v>2466</v>
      </c>
      <c r="I201" s="11">
        <v>1603</v>
      </c>
      <c r="K201" s="13">
        <v>43282</v>
      </c>
      <c r="L201">
        <v>2802</v>
      </c>
      <c r="AA201" s="1">
        <v>43287</v>
      </c>
      <c r="AB201">
        <v>3131</v>
      </c>
    </row>
    <row r="202" spans="1:28" x14ac:dyDescent="0.35">
      <c r="A202" s="11" t="s">
        <v>226</v>
      </c>
      <c r="B202" s="12">
        <v>43301</v>
      </c>
      <c r="C202" s="11" t="s">
        <v>48</v>
      </c>
      <c r="D202" s="11" t="s">
        <v>49</v>
      </c>
      <c r="E202" s="11" t="s">
        <v>50</v>
      </c>
      <c r="F202" s="11" t="s">
        <v>51</v>
      </c>
      <c r="G202" s="11" t="s">
        <v>42</v>
      </c>
      <c r="H202" s="11">
        <v>2137</v>
      </c>
      <c r="I202" s="11">
        <v>1325</v>
      </c>
      <c r="K202" s="13">
        <v>43283</v>
      </c>
      <c r="L202">
        <v>3486</v>
      </c>
      <c r="AA202" s="1">
        <v>43288</v>
      </c>
      <c r="AB202">
        <v>3825</v>
      </c>
    </row>
    <row r="203" spans="1:28" x14ac:dyDescent="0.35">
      <c r="A203" s="11" t="s">
        <v>227</v>
      </c>
      <c r="B203" s="12">
        <v>43302</v>
      </c>
      <c r="C203" s="11" t="s">
        <v>53</v>
      </c>
      <c r="D203" s="11" t="s">
        <v>49</v>
      </c>
      <c r="E203" s="11" t="s">
        <v>54</v>
      </c>
      <c r="F203" s="11" t="s">
        <v>55</v>
      </c>
      <c r="G203" s="11" t="s">
        <v>42</v>
      </c>
      <c r="H203" s="11">
        <v>4216</v>
      </c>
      <c r="I203" s="11">
        <v>3162</v>
      </c>
      <c r="K203" s="13">
        <v>43284</v>
      </c>
      <c r="L203">
        <v>3422</v>
      </c>
      <c r="AA203" s="1">
        <v>43289</v>
      </c>
      <c r="AB203">
        <v>4362</v>
      </c>
    </row>
    <row r="204" spans="1:28" x14ac:dyDescent="0.35">
      <c r="A204" s="11" t="s">
        <v>228</v>
      </c>
      <c r="B204" s="12">
        <v>43303</v>
      </c>
      <c r="C204" s="11" t="s">
        <v>57</v>
      </c>
      <c r="D204" s="11" t="s">
        <v>49</v>
      </c>
      <c r="E204" s="11" t="s">
        <v>54</v>
      </c>
      <c r="F204" s="11" t="s">
        <v>55</v>
      </c>
      <c r="G204" s="11" t="s">
        <v>42</v>
      </c>
      <c r="H204" s="11">
        <v>3165</v>
      </c>
      <c r="I204" s="11">
        <v>2310</v>
      </c>
      <c r="K204" s="13">
        <v>43285</v>
      </c>
      <c r="L204">
        <v>2842</v>
      </c>
      <c r="AA204" s="1">
        <v>43290</v>
      </c>
      <c r="AB204">
        <v>2934</v>
      </c>
    </row>
    <row r="205" spans="1:28" x14ac:dyDescent="0.35">
      <c r="A205" s="11" t="s">
        <v>229</v>
      </c>
      <c r="B205" s="12">
        <v>43304</v>
      </c>
      <c r="C205" s="11" t="s">
        <v>59</v>
      </c>
      <c r="D205" s="11" t="s">
        <v>60</v>
      </c>
      <c r="E205" s="11" t="s">
        <v>61</v>
      </c>
      <c r="F205" s="11" t="s">
        <v>62</v>
      </c>
      <c r="G205" s="11" t="s">
        <v>13</v>
      </c>
      <c r="H205" s="11">
        <v>3263</v>
      </c>
      <c r="I205" s="11">
        <v>2545</v>
      </c>
      <c r="K205" s="13">
        <v>43286</v>
      </c>
      <c r="L205">
        <v>3846</v>
      </c>
      <c r="AA205" s="1">
        <v>43291</v>
      </c>
      <c r="AB205">
        <v>4354</v>
      </c>
    </row>
    <row r="206" spans="1:28" x14ac:dyDescent="0.35">
      <c r="A206" s="11" t="s">
        <v>230</v>
      </c>
      <c r="B206" s="12">
        <v>43305</v>
      </c>
      <c r="C206" s="11" t="s">
        <v>64</v>
      </c>
      <c r="D206" s="11" t="s">
        <v>20</v>
      </c>
      <c r="E206" s="11" t="s">
        <v>65</v>
      </c>
      <c r="F206" s="11" t="s">
        <v>66</v>
      </c>
      <c r="G206" s="11" t="s">
        <v>13</v>
      </c>
      <c r="H206" s="11">
        <v>2946</v>
      </c>
      <c r="I206" s="11">
        <v>2210</v>
      </c>
      <c r="K206" s="13">
        <v>43287</v>
      </c>
      <c r="L206">
        <v>3131</v>
      </c>
      <c r="AA206" s="1">
        <v>43292</v>
      </c>
      <c r="AB206">
        <v>2102</v>
      </c>
    </row>
    <row r="207" spans="1:28" x14ac:dyDescent="0.35">
      <c r="A207" s="11" t="s">
        <v>231</v>
      </c>
      <c r="B207" s="12">
        <v>43306</v>
      </c>
      <c r="C207" s="11" t="s">
        <v>68</v>
      </c>
      <c r="D207" s="11" t="s">
        <v>69</v>
      </c>
      <c r="E207" s="11" t="s">
        <v>70</v>
      </c>
      <c r="F207" s="11" t="s">
        <v>71</v>
      </c>
      <c r="G207" s="11" t="s">
        <v>13</v>
      </c>
      <c r="H207" s="11">
        <v>2989</v>
      </c>
      <c r="I207" s="11">
        <v>2212</v>
      </c>
      <c r="K207" s="13">
        <v>43288</v>
      </c>
      <c r="L207">
        <v>3825</v>
      </c>
      <c r="AA207" s="1">
        <v>43293</v>
      </c>
      <c r="AB207">
        <v>3261</v>
      </c>
    </row>
    <row r="208" spans="1:28" x14ac:dyDescent="0.35">
      <c r="A208" s="11" t="s">
        <v>232</v>
      </c>
      <c r="B208" s="12">
        <v>43307</v>
      </c>
      <c r="C208" s="11" t="s">
        <v>73</v>
      </c>
      <c r="D208" s="11" t="s">
        <v>69</v>
      </c>
      <c r="E208" s="11" t="s">
        <v>70</v>
      </c>
      <c r="F208" s="11" t="s">
        <v>71</v>
      </c>
      <c r="G208" s="11" t="s">
        <v>13</v>
      </c>
      <c r="H208" s="11">
        <v>3463</v>
      </c>
      <c r="I208" s="11">
        <v>2770</v>
      </c>
      <c r="K208" s="13">
        <v>43289</v>
      </c>
      <c r="L208">
        <v>4362</v>
      </c>
      <c r="AA208" s="1">
        <v>43294</v>
      </c>
      <c r="AB208">
        <v>2577</v>
      </c>
    </row>
    <row r="209" spans="1:28" x14ac:dyDescent="0.35">
      <c r="A209" s="11" t="s">
        <v>233</v>
      </c>
      <c r="B209" s="12">
        <v>43308</v>
      </c>
      <c r="C209" s="11" t="s">
        <v>75</v>
      </c>
      <c r="D209" s="11" t="s">
        <v>49</v>
      </c>
      <c r="E209" s="11" t="s">
        <v>50</v>
      </c>
      <c r="F209" s="11" t="s">
        <v>76</v>
      </c>
      <c r="G209" s="11" t="s">
        <v>42</v>
      </c>
      <c r="H209" s="11">
        <v>2677</v>
      </c>
      <c r="I209" s="11">
        <v>2088</v>
      </c>
      <c r="K209" s="13">
        <v>43290</v>
      </c>
      <c r="L209">
        <v>2934</v>
      </c>
      <c r="AA209" s="1">
        <v>43295</v>
      </c>
      <c r="AB209">
        <v>3131</v>
      </c>
    </row>
    <row r="210" spans="1:28" x14ac:dyDescent="0.35">
      <c r="A210" s="11" t="s">
        <v>234</v>
      </c>
      <c r="B210" s="12">
        <v>43309</v>
      </c>
      <c r="C210" s="11" t="s">
        <v>78</v>
      </c>
      <c r="D210" s="11" t="s">
        <v>49</v>
      </c>
      <c r="E210" s="11" t="s">
        <v>50</v>
      </c>
      <c r="F210" s="11" t="s">
        <v>76</v>
      </c>
      <c r="G210" s="11" t="s">
        <v>42</v>
      </c>
      <c r="H210" s="11">
        <v>2966</v>
      </c>
      <c r="I210" s="11">
        <v>1928</v>
      </c>
      <c r="K210" s="13">
        <v>43291</v>
      </c>
      <c r="L210">
        <v>4354</v>
      </c>
      <c r="AA210" s="1">
        <v>43296</v>
      </c>
      <c r="AB210">
        <v>2683</v>
      </c>
    </row>
    <row r="211" spans="1:28" x14ac:dyDescent="0.35">
      <c r="A211" s="11" t="s">
        <v>235</v>
      </c>
      <c r="B211" s="12">
        <v>43310</v>
      </c>
      <c r="C211" s="11" t="s">
        <v>80</v>
      </c>
      <c r="D211" s="11" t="s">
        <v>49</v>
      </c>
      <c r="E211" s="11" t="s">
        <v>50</v>
      </c>
      <c r="F211" s="11" t="s">
        <v>76</v>
      </c>
      <c r="G211" s="11" t="s">
        <v>42</v>
      </c>
      <c r="H211" s="11">
        <v>2106</v>
      </c>
      <c r="I211" s="11">
        <v>1516</v>
      </c>
      <c r="K211" s="13">
        <v>43292</v>
      </c>
      <c r="L211">
        <v>2102</v>
      </c>
      <c r="AA211" s="1">
        <v>43297</v>
      </c>
      <c r="AB211">
        <v>2613</v>
      </c>
    </row>
    <row r="212" spans="1:28" x14ac:dyDescent="0.35">
      <c r="A212" s="11" t="s">
        <v>236</v>
      </c>
      <c r="B212" s="12">
        <v>43311</v>
      </c>
      <c r="C212" s="11" t="s">
        <v>10</v>
      </c>
      <c r="D212" s="11" t="s">
        <v>11</v>
      </c>
      <c r="E212" s="11" t="s">
        <v>12</v>
      </c>
      <c r="F212" s="11" t="s">
        <v>12</v>
      </c>
      <c r="G212" s="11" t="s">
        <v>13</v>
      </c>
      <c r="H212" s="11">
        <v>3664</v>
      </c>
      <c r="I212" s="11">
        <v>2272</v>
      </c>
      <c r="K212" s="13">
        <v>43293</v>
      </c>
      <c r="L212">
        <v>3261</v>
      </c>
      <c r="AA212" s="1">
        <v>43298</v>
      </c>
      <c r="AB212">
        <v>4076</v>
      </c>
    </row>
    <row r="213" spans="1:28" x14ac:dyDescent="0.35">
      <c r="A213" s="11" t="s">
        <v>237</v>
      </c>
      <c r="B213" s="12">
        <v>43312</v>
      </c>
      <c r="C213" s="11" t="s">
        <v>15</v>
      </c>
      <c r="D213" s="11" t="s">
        <v>11</v>
      </c>
      <c r="E213" s="11" t="s">
        <v>12</v>
      </c>
      <c r="F213" s="11" t="s">
        <v>12</v>
      </c>
      <c r="G213" s="11" t="s">
        <v>13</v>
      </c>
      <c r="H213" s="11">
        <v>3069</v>
      </c>
      <c r="I213" s="11">
        <v>2240</v>
      </c>
      <c r="K213" s="13">
        <v>43294</v>
      </c>
      <c r="L213">
        <v>2577</v>
      </c>
      <c r="AA213" s="1">
        <v>43299</v>
      </c>
      <c r="AB213">
        <v>4400</v>
      </c>
    </row>
    <row r="214" spans="1:28" x14ac:dyDescent="0.35">
      <c r="A214" s="11" t="s">
        <v>238</v>
      </c>
      <c r="B214" s="12">
        <v>43313</v>
      </c>
      <c r="C214" s="11" t="s">
        <v>17</v>
      </c>
      <c r="D214" s="11" t="s">
        <v>11</v>
      </c>
      <c r="E214" s="11" t="s">
        <v>12</v>
      </c>
      <c r="F214" s="11" t="s">
        <v>12</v>
      </c>
      <c r="G214" s="11" t="s">
        <v>13</v>
      </c>
      <c r="H214" s="11">
        <v>3755</v>
      </c>
      <c r="I214" s="11">
        <v>2516</v>
      </c>
      <c r="K214" s="13">
        <v>43295</v>
      </c>
      <c r="L214">
        <v>3131</v>
      </c>
      <c r="AA214" s="1">
        <v>43300</v>
      </c>
      <c r="AB214">
        <v>2466</v>
      </c>
    </row>
    <row r="215" spans="1:28" x14ac:dyDescent="0.35">
      <c r="A215" s="11" t="s">
        <v>239</v>
      </c>
      <c r="B215" s="12">
        <v>43314</v>
      </c>
      <c r="C215" s="11" t="s">
        <v>19</v>
      </c>
      <c r="D215" s="11" t="s">
        <v>20</v>
      </c>
      <c r="E215" s="11" t="s">
        <v>21</v>
      </c>
      <c r="F215" s="11" t="s">
        <v>22</v>
      </c>
      <c r="G215" s="11" t="s">
        <v>13</v>
      </c>
      <c r="H215" s="11">
        <v>3215</v>
      </c>
      <c r="I215" s="11">
        <v>2058</v>
      </c>
      <c r="K215" s="13">
        <v>43296</v>
      </c>
      <c r="L215">
        <v>2683</v>
      </c>
      <c r="AA215" s="1">
        <v>43301</v>
      </c>
      <c r="AB215">
        <v>2137</v>
      </c>
    </row>
    <row r="216" spans="1:28" x14ac:dyDescent="0.35">
      <c r="A216" s="11" t="s">
        <v>240</v>
      </c>
      <c r="B216" s="12">
        <v>43315</v>
      </c>
      <c r="C216" s="11" t="s">
        <v>24</v>
      </c>
      <c r="D216" s="11" t="s">
        <v>20</v>
      </c>
      <c r="E216" s="11" t="s">
        <v>21</v>
      </c>
      <c r="F216" s="11" t="s">
        <v>22</v>
      </c>
      <c r="G216" s="11" t="s">
        <v>13</v>
      </c>
      <c r="H216" s="11">
        <v>3685</v>
      </c>
      <c r="I216" s="11">
        <v>2543</v>
      </c>
      <c r="K216" s="13">
        <v>43297</v>
      </c>
      <c r="L216">
        <v>2613</v>
      </c>
      <c r="AA216" s="1">
        <v>43302</v>
      </c>
      <c r="AB216">
        <v>4216</v>
      </c>
    </row>
    <row r="217" spans="1:28" x14ac:dyDescent="0.35">
      <c r="A217" s="11" t="s">
        <v>241</v>
      </c>
      <c r="B217" s="12">
        <v>43316</v>
      </c>
      <c r="C217" s="11" t="s">
        <v>26</v>
      </c>
      <c r="D217" s="11" t="s">
        <v>20</v>
      </c>
      <c r="E217" s="11" t="s">
        <v>21</v>
      </c>
      <c r="F217" s="11" t="s">
        <v>22</v>
      </c>
      <c r="G217" s="11" t="s">
        <v>13</v>
      </c>
      <c r="H217" s="11">
        <v>4015</v>
      </c>
      <c r="I217" s="11">
        <v>2730</v>
      </c>
      <c r="K217" s="13">
        <v>43298</v>
      </c>
      <c r="L217">
        <v>4076</v>
      </c>
      <c r="AA217" s="1">
        <v>43303</v>
      </c>
      <c r="AB217">
        <v>3165</v>
      </c>
    </row>
    <row r="218" spans="1:28" x14ac:dyDescent="0.35">
      <c r="A218" s="11" t="s">
        <v>242</v>
      </c>
      <c r="B218" s="12">
        <v>43317</v>
      </c>
      <c r="C218" s="11" t="s">
        <v>28</v>
      </c>
      <c r="D218" s="11" t="s">
        <v>20</v>
      </c>
      <c r="E218" s="11" t="s">
        <v>21</v>
      </c>
      <c r="F218" s="11" t="s">
        <v>22</v>
      </c>
      <c r="G218" s="11" t="s">
        <v>13</v>
      </c>
      <c r="H218" s="11">
        <v>2517</v>
      </c>
      <c r="I218" s="11">
        <v>1661</v>
      </c>
      <c r="K218" s="13">
        <v>43299</v>
      </c>
      <c r="L218">
        <v>4400</v>
      </c>
      <c r="AA218" s="1">
        <v>43304</v>
      </c>
      <c r="AB218">
        <v>3263</v>
      </c>
    </row>
    <row r="219" spans="1:28" x14ac:dyDescent="0.35">
      <c r="A219" s="11" t="s">
        <v>243</v>
      </c>
      <c r="B219" s="12">
        <v>43318</v>
      </c>
      <c r="C219" s="11" t="s">
        <v>30</v>
      </c>
      <c r="D219" s="11" t="s">
        <v>20</v>
      </c>
      <c r="E219" s="11" t="s">
        <v>21</v>
      </c>
      <c r="F219" s="11" t="s">
        <v>22</v>
      </c>
      <c r="G219" s="11" t="s">
        <v>13</v>
      </c>
      <c r="H219" s="11">
        <v>2598</v>
      </c>
      <c r="I219" s="11">
        <v>1793</v>
      </c>
      <c r="K219" s="13">
        <v>43300</v>
      </c>
      <c r="L219">
        <v>2466</v>
      </c>
      <c r="AA219" s="1">
        <v>43305</v>
      </c>
      <c r="AB219">
        <v>2946</v>
      </c>
    </row>
    <row r="220" spans="1:28" x14ac:dyDescent="0.35">
      <c r="A220" s="11" t="s">
        <v>244</v>
      </c>
      <c r="B220" s="12">
        <v>43319</v>
      </c>
      <c r="C220" s="11" t="s">
        <v>32</v>
      </c>
      <c r="D220" s="11" t="s">
        <v>33</v>
      </c>
      <c r="E220" s="11" t="s">
        <v>34</v>
      </c>
      <c r="F220" s="11" t="s">
        <v>35</v>
      </c>
      <c r="G220" s="11" t="s">
        <v>36</v>
      </c>
      <c r="H220" s="11">
        <v>3513</v>
      </c>
      <c r="I220" s="11">
        <v>2740</v>
      </c>
      <c r="K220" s="13">
        <v>43301</v>
      </c>
      <c r="L220">
        <v>2137</v>
      </c>
      <c r="AA220" s="1">
        <v>43306</v>
      </c>
      <c r="AB220">
        <v>2989</v>
      </c>
    </row>
    <row r="221" spans="1:28" x14ac:dyDescent="0.35">
      <c r="A221" s="11" t="s">
        <v>245</v>
      </c>
      <c r="B221" s="12">
        <v>43320</v>
      </c>
      <c r="C221" s="11" t="s">
        <v>38</v>
      </c>
      <c r="D221" s="11" t="s">
        <v>39</v>
      </c>
      <c r="E221" s="11" t="s">
        <v>40</v>
      </c>
      <c r="F221" s="11" t="s">
        <v>41</v>
      </c>
      <c r="G221" s="11" t="s">
        <v>42</v>
      </c>
      <c r="H221" s="11">
        <v>2247</v>
      </c>
      <c r="I221" s="11">
        <v>1775</v>
      </c>
      <c r="K221" s="13">
        <v>43302</v>
      </c>
      <c r="L221">
        <v>4216</v>
      </c>
      <c r="AA221" s="1">
        <v>43307</v>
      </c>
      <c r="AB221">
        <v>3463</v>
      </c>
    </row>
    <row r="222" spans="1:28" x14ac:dyDescent="0.35">
      <c r="A222" s="11" t="s">
        <v>246</v>
      </c>
      <c r="B222" s="12">
        <v>43321</v>
      </c>
      <c r="C222" s="11" t="s">
        <v>44</v>
      </c>
      <c r="D222" s="11" t="s">
        <v>33</v>
      </c>
      <c r="E222" s="11" t="s">
        <v>45</v>
      </c>
      <c r="F222" s="11" t="s">
        <v>46</v>
      </c>
      <c r="G222" s="11" t="s">
        <v>36</v>
      </c>
      <c r="H222" s="11">
        <v>2878</v>
      </c>
      <c r="I222" s="11">
        <v>1784</v>
      </c>
      <c r="K222" s="13">
        <v>43303</v>
      </c>
      <c r="L222">
        <v>3165</v>
      </c>
      <c r="AA222" s="1">
        <v>43308</v>
      </c>
      <c r="AB222">
        <v>2677</v>
      </c>
    </row>
    <row r="223" spans="1:28" x14ac:dyDescent="0.35">
      <c r="A223" s="11" t="s">
        <v>247</v>
      </c>
      <c r="B223" s="12">
        <v>43322</v>
      </c>
      <c r="C223" s="11" t="s">
        <v>48</v>
      </c>
      <c r="D223" s="11" t="s">
        <v>49</v>
      </c>
      <c r="E223" s="11" t="s">
        <v>50</v>
      </c>
      <c r="F223" s="11" t="s">
        <v>51</v>
      </c>
      <c r="G223" s="11" t="s">
        <v>42</v>
      </c>
      <c r="H223" s="11">
        <v>3425</v>
      </c>
      <c r="I223" s="11">
        <v>2706</v>
      </c>
      <c r="K223" s="13">
        <v>43304</v>
      </c>
      <c r="L223">
        <v>3263</v>
      </c>
      <c r="AA223" s="1">
        <v>43309</v>
      </c>
      <c r="AB223">
        <v>2966</v>
      </c>
    </row>
    <row r="224" spans="1:28" x14ac:dyDescent="0.35">
      <c r="A224" s="11" t="s">
        <v>248</v>
      </c>
      <c r="B224" s="12">
        <v>43323</v>
      </c>
      <c r="C224" s="11" t="s">
        <v>53</v>
      </c>
      <c r="D224" s="11" t="s">
        <v>49</v>
      </c>
      <c r="E224" s="11" t="s">
        <v>54</v>
      </c>
      <c r="F224" s="11" t="s">
        <v>55</v>
      </c>
      <c r="G224" s="11" t="s">
        <v>42</v>
      </c>
      <c r="H224" s="11">
        <v>2865</v>
      </c>
      <c r="I224" s="11">
        <v>2091</v>
      </c>
      <c r="K224" s="13">
        <v>43305</v>
      </c>
      <c r="L224">
        <v>2946</v>
      </c>
      <c r="AA224" s="1">
        <v>43310</v>
      </c>
      <c r="AB224">
        <v>2106</v>
      </c>
    </row>
    <row r="225" spans="1:28" x14ac:dyDescent="0.35">
      <c r="A225" s="11" t="s">
        <v>249</v>
      </c>
      <c r="B225" s="12">
        <v>43324</v>
      </c>
      <c r="C225" s="11" t="s">
        <v>57</v>
      </c>
      <c r="D225" s="11" t="s">
        <v>49</v>
      </c>
      <c r="E225" s="11" t="s">
        <v>54</v>
      </c>
      <c r="F225" s="11" t="s">
        <v>55</v>
      </c>
      <c r="G225" s="11" t="s">
        <v>42</v>
      </c>
      <c r="H225" s="11">
        <v>2393</v>
      </c>
      <c r="I225" s="11">
        <v>1723</v>
      </c>
      <c r="K225" s="13">
        <v>43306</v>
      </c>
      <c r="L225">
        <v>2989</v>
      </c>
      <c r="AA225" s="1">
        <v>43311</v>
      </c>
      <c r="AB225">
        <v>3664</v>
      </c>
    </row>
    <row r="226" spans="1:28" x14ac:dyDescent="0.35">
      <c r="A226" s="11" t="s">
        <v>250</v>
      </c>
      <c r="B226" s="12">
        <v>43325</v>
      </c>
      <c r="C226" s="11" t="s">
        <v>59</v>
      </c>
      <c r="D226" s="11" t="s">
        <v>60</v>
      </c>
      <c r="E226" s="11" t="s">
        <v>61</v>
      </c>
      <c r="F226" s="11" t="s">
        <v>62</v>
      </c>
      <c r="G226" s="11" t="s">
        <v>13</v>
      </c>
      <c r="H226" s="11">
        <v>3149</v>
      </c>
      <c r="I226" s="11">
        <v>2299</v>
      </c>
      <c r="K226" s="13">
        <v>43307</v>
      </c>
      <c r="L226">
        <v>3463</v>
      </c>
      <c r="AA226" s="1">
        <v>43312</v>
      </c>
      <c r="AB226">
        <v>3069</v>
      </c>
    </row>
    <row r="227" spans="1:28" x14ac:dyDescent="0.35">
      <c r="A227" s="11" t="s">
        <v>251</v>
      </c>
      <c r="B227" s="12">
        <v>43326</v>
      </c>
      <c r="C227" s="11" t="s">
        <v>64</v>
      </c>
      <c r="D227" s="11" t="s">
        <v>20</v>
      </c>
      <c r="E227" s="11" t="s">
        <v>65</v>
      </c>
      <c r="F227" s="11" t="s">
        <v>66</v>
      </c>
      <c r="G227" s="11" t="s">
        <v>13</v>
      </c>
      <c r="H227" s="11">
        <v>3277</v>
      </c>
      <c r="I227" s="11">
        <v>2130</v>
      </c>
      <c r="K227" s="13">
        <v>43308</v>
      </c>
      <c r="L227">
        <v>2677</v>
      </c>
      <c r="Z227" t="s">
        <v>417</v>
      </c>
      <c r="AB227">
        <v>98974</v>
      </c>
    </row>
    <row r="228" spans="1:28" x14ac:dyDescent="0.35">
      <c r="A228" s="11" t="s">
        <v>252</v>
      </c>
      <c r="B228" s="12">
        <v>43327</v>
      </c>
      <c r="C228" s="11" t="s">
        <v>68</v>
      </c>
      <c r="D228" s="11" t="s">
        <v>69</v>
      </c>
      <c r="E228" s="11" t="s">
        <v>70</v>
      </c>
      <c r="F228" s="11" t="s">
        <v>71</v>
      </c>
      <c r="G228" s="11" t="s">
        <v>13</v>
      </c>
      <c r="H228" s="11">
        <v>2713</v>
      </c>
      <c r="I228" s="11">
        <v>1682</v>
      </c>
      <c r="K228" s="13">
        <v>43309</v>
      </c>
      <c r="L228">
        <v>2966</v>
      </c>
      <c r="Z228" t="s">
        <v>398</v>
      </c>
      <c r="AA228" s="1">
        <v>43313</v>
      </c>
      <c r="AB228">
        <v>3755</v>
      </c>
    </row>
    <row r="229" spans="1:28" x14ac:dyDescent="0.35">
      <c r="A229" s="11" t="s">
        <v>253</v>
      </c>
      <c r="B229" s="12">
        <v>43328</v>
      </c>
      <c r="C229" s="11" t="s">
        <v>73</v>
      </c>
      <c r="D229" s="11" t="s">
        <v>69</v>
      </c>
      <c r="E229" s="11" t="s">
        <v>70</v>
      </c>
      <c r="F229" s="11" t="s">
        <v>71</v>
      </c>
      <c r="G229" s="11" t="s">
        <v>13</v>
      </c>
      <c r="H229" s="11">
        <v>3381</v>
      </c>
      <c r="I229" s="11">
        <v>2231</v>
      </c>
      <c r="K229" s="13">
        <v>43310</v>
      </c>
      <c r="L229">
        <v>2106</v>
      </c>
      <c r="AA229" s="1">
        <v>43314</v>
      </c>
      <c r="AB229">
        <v>3215</v>
      </c>
    </row>
    <row r="230" spans="1:28" x14ac:dyDescent="0.35">
      <c r="A230" s="11" t="s">
        <v>254</v>
      </c>
      <c r="B230" s="12">
        <v>43329</v>
      </c>
      <c r="C230" s="11" t="s">
        <v>75</v>
      </c>
      <c r="D230" s="11" t="s">
        <v>49</v>
      </c>
      <c r="E230" s="11" t="s">
        <v>50</v>
      </c>
      <c r="F230" s="11" t="s">
        <v>76</v>
      </c>
      <c r="G230" s="11" t="s">
        <v>42</v>
      </c>
      <c r="H230" s="11">
        <v>2545</v>
      </c>
      <c r="I230" s="11">
        <v>2011</v>
      </c>
      <c r="K230" s="13">
        <v>43311</v>
      </c>
      <c r="L230">
        <v>3664</v>
      </c>
      <c r="AA230" s="1">
        <v>43315</v>
      </c>
      <c r="AB230">
        <v>3685</v>
      </c>
    </row>
    <row r="231" spans="1:28" x14ac:dyDescent="0.35">
      <c r="A231" s="11" t="s">
        <v>255</v>
      </c>
      <c r="B231" s="12">
        <v>43330</v>
      </c>
      <c r="C231" s="11" t="s">
        <v>78</v>
      </c>
      <c r="D231" s="11" t="s">
        <v>49</v>
      </c>
      <c r="E231" s="11" t="s">
        <v>50</v>
      </c>
      <c r="F231" s="11" t="s">
        <v>76</v>
      </c>
      <c r="G231" s="11" t="s">
        <v>42</v>
      </c>
      <c r="H231" s="11">
        <v>4473</v>
      </c>
      <c r="I231" s="11">
        <v>2729</v>
      </c>
      <c r="K231" s="13">
        <v>43312</v>
      </c>
      <c r="L231">
        <v>3069</v>
      </c>
      <c r="AA231" s="1">
        <v>43316</v>
      </c>
      <c r="AB231">
        <v>4015</v>
      </c>
    </row>
    <row r="232" spans="1:28" x14ac:dyDescent="0.35">
      <c r="A232" s="11" t="s">
        <v>256</v>
      </c>
      <c r="B232" s="12">
        <v>43331</v>
      </c>
      <c r="C232" s="11" t="s">
        <v>80</v>
      </c>
      <c r="D232" s="11" t="s">
        <v>49</v>
      </c>
      <c r="E232" s="11" t="s">
        <v>50</v>
      </c>
      <c r="F232" s="11" t="s">
        <v>76</v>
      </c>
      <c r="G232" s="11" t="s">
        <v>42</v>
      </c>
      <c r="H232" s="11">
        <v>3332</v>
      </c>
      <c r="I232" s="11">
        <v>2132</v>
      </c>
      <c r="K232" s="8" t="s">
        <v>398</v>
      </c>
      <c r="L232">
        <v>96420</v>
      </c>
      <c r="AA232" s="1">
        <v>43317</v>
      </c>
      <c r="AB232">
        <v>2517</v>
      </c>
    </row>
    <row r="233" spans="1:28" x14ac:dyDescent="0.35">
      <c r="A233" s="11" t="s">
        <v>257</v>
      </c>
      <c r="B233" s="12">
        <v>43332</v>
      </c>
      <c r="C233" s="11" t="s">
        <v>10</v>
      </c>
      <c r="D233" s="11" t="s">
        <v>11</v>
      </c>
      <c r="E233" s="11" t="s">
        <v>12</v>
      </c>
      <c r="F233" s="11" t="s">
        <v>12</v>
      </c>
      <c r="G233" s="11" t="s">
        <v>13</v>
      </c>
      <c r="H233" s="11">
        <v>2283</v>
      </c>
      <c r="I233" s="11">
        <v>1438</v>
      </c>
      <c r="K233" s="13">
        <v>43313</v>
      </c>
      <c r="L233">
        <v>3755</v>
      </c>
      <c r="AA233" s="1">
        <v>43318</v>
      </c>
      <c r="AB233">
        <v>2598</v>
      </c>
    </row>
    <row r="234" spans="1:28" x14ac:dyDescent="0.35">
      <c r="A234" s="11" t="s">
        <v>258</v>
      </c>
      <c r="B234" s="12">
        <v>43333</v>
      </c>
      <c r="C234" s="11" t="s">
        <v>15</v>
      </c>
      <c r="D234" s="11" t="s">
        <v>11</v>
      </c>
      <c r="E234" s="11" t="s">
        <v>12</v>
      </c>
      <c r="F234" s="11" t="s">
        <v>12</v>
      </c>
      <c r="G234" s="11" t="s">
        <v>13</v>
      </c>
      <c r="H234" s="11">
        <v>2696</v>
      </c>
      <c r="I234" s="11">
        <v>1833</v>
      </c>
      <c r="K234" s="13">
        <v>43314</v>
      </c>
      <c r="L234">
        <v>3215</v>
      </c>
      <c r="AA234" s="1">
        <v>43319</v>
      </c>
      <c r="AB234">
        <v>3513</v>
      </c>
    </row>
    <row r="235" spans="1:28" x14ac:dyDescent="0.35">
      <c r="A235" s="11" t="s">
        <v>259</v>
      </c>
      <c r="B235" s="12">
        <v>43334</v>
      </c>
      <c r="C235" s="11" t="s">
        <v>17</v>
      </c>
      <c r="D235" s="11" t="s">
        <v>11</v>
      </c>
      <c r="E235" s="11" t="s">
        <v>12</v>
      </c>
      <c r="F235" s="11" t="s">
        <v>12</v>
      </c>
      <c r="G235" s="11" t="s">
        <v>13</v>
      </c>
      <c r="H235" s="11">
        <v>4061</v>
      </c>
      <c r="I235" s="11">
        <v>3127</v>
      </c>
      <c r="K235" s="13">
        <v>43315</v>
      </c>
      <c r="L235">
        <v>3685</v>
      </c>
      <c r="AA235" s="1">
        <v>43320</v>
      </c>
      <c r="AB235">
        <v>2247</v>
      </c>
    </row>
    <row r="236" spans="1:28" x14ac:dyDescent="0.35">
      <c r="A236" s="11" t="s">
        <v>260</v>
      </c>
      <c r="B236" s="12">
        <v>43335</v>
      </c>
      <c r="C236" s="11" t="s">
        <v>19</v>
      </c>
      <c r="D236" s="11" t="s">
        <v>20</v>
      </c>
      <c r="E236" s="11" t="s">
        <v>21</v>
      </c>
      <c r="F236" s="11" t="s">
        <v>22</v>
      </c>
      <c r="G236" s="11" t="s">
        <v>13</v>
      </c>
      <c r="H236" s="11">
        <v>2382</v>
      </c>
      <c r="I236" s="11">
        <v>1548</v>
      </c>
      <c r="K236" s="13">
        <v>43316</v>
      </c>
      <c r="L236">
        <v>4015</v>
      </c>
      <c r="AA236" s="1">
        <v>43321</v>
      </c>
      <c r="AB236">
        <v>2878</v>
      </c>
    </row>
    <row r="237" spans="1:28" x14ac:dyDescent="0.35">
      <c r="A237" s="11" t="s">
        <v>261</v>
      </c>
      <c r="B237" s="12">
        <v>43336</v>
      </c>
      <c r="C237" s="11" t="s">
        <v>24</v>
      </c>
      <c r="D237" s="11" t="s">
        <v>20</v>
      </c>
      <c r="E237" s="11" t="s">
        <v>21</v>
      </c>
      <c r="F237" s="11" t="s">
        <v>22</v>
      </c>
      <c r="G237" s="11" t="s">
        <v>13</v>
      </c>
      <c r="H237" s="11">
        <v>4336</v>
      </c>
      <c r="I237" s="11">
        <v>2602</v>
      </c>
      <c r="K237" s="13">
        <v>43317</v>
      </c>
      <c r="L237">
        <v>2517</v>
      </c>
      <c r="AA237" s="1">
        <v>43322</v>
      </c>
      <c r="AB237">
        <v>3425</v>
      </c>
    </row>
    <row r="238" spans="1:28" x14ac:dyDescent="0.35">
      <c r="A238" s="11" t="s">
        <v>262</v>
      </c>
      <c r="B238" s="12">
        <v>43337</v>
      </c>
      <c r="C238" s="11" t="s">
        <v>26</v>
      </c>
      <c r="D238" s="11" t="s">
        <v>20</v>
      </c>
      <c r="E238" s="11" t="s">
        <v>21</v>
      </c>
      <c r="F238" s="11" t="s">
        <v>22</v>
      </c>
      <c r="G238" s="11" t="s">
        <v>13</v>
      </c>
      <c r="H238" s="11">
        <v>2602</v>
      </c>
      <c r="I238" s="11">
        <v>2004</v>
      </c>
      <c r="K238" s="13">
        <v>43318</v>
      </c>
      <c r="L238">
        <v>2598</v>
      </c>
      <c r="AA238" s="1">
        <v>43323</v>
      </c>
      <c r="AB238">
        <v>2865</v>
      </c>
    </row>
    <row r="239" spans="1:28" x14ac:dyDescent="0.35">
      <c r="A239" s="11" t="s">
        <v>263</v>
      </c>
      <c r="B239" s="12">
        <v>43338</v>
      </c>
      <c r="C239" s="11" t="s">
        <v>28</v>
      </c>
      <c r="D239" s="11" t="s">
        <v>20</v>
      </c>
      <c r="E239" s="11" t="s">
        <v>21</v>
      </c>
      <c r="F239" s="11" t="s">
        <v>22</v>
      </c>
      <c r="G239" s="11" t="s">
        <v>13</v>
      </c>
      <c r="H239" s="11">
        <v>3094</v>
      </c>
      <c r="I239" s="11">
        <v>2073</v>
      </c>
      <c r="K239" s="13">
        <v>43319</v>
      </c>
      <c r="L239">
        <v>3513</v>
      </c>
      <c r="AA239" s="1">
        <v>43324</v>
      </c>
      <c r="AB239">
        <v>2393</v>
      </c>
    </row>
    <row r="240" spans="1:28" x14ac:dyDescent="0.35">
      <c r="A240" s="11" t="s">
        <v>264</v>
      </c>
      <c r="B240" s="12">
        <v>43339</v>
      </c>
      <c r="C240" s="11" t="s">
        <v>30</v>
      </c>
      <c r="D240" s="11" t="s">
        <v>20</v>
      </c>
      <c r="E240" s="11" t="s">
        <v>21</v>
      </c>
      <c r="F240" s="11" t="s">
        <v>22</v>
      </c>
      <c r="G240" s="11" t="s">
        <v>13</v>
      </c>
      <c r="H240" s="11">
        <v>3510</v>
      </c>
      <c r="I240" s="11">
        <v>2141</v>
      </c>
      <c r="K240" s="13">
        <v>43320</v>
      </c>
      <c r="L240">
        <v>2247</v>
      </c>
      <c r="AA240" s="1">
        <v>43325</v>
      </c>
      <c r="AB240">
        <v>3149</v>
      </c>
    </row>
    <row r="241" spans="1:28" x14ac:dyDescent="0.35">
      <c r="A241" s="11" t="s">
        <v>265</v>
      </c>
      <c r="B241" s="12">
        <v>43340</v>
      </c>
      <c r="C241" s="11" t="s">
        <v>32</v>
      </c>
      <c r="D241" s="11" t="s">
        <v>33</v>
      </c>
      <c r="E241" s="11" t="s">
        <v>34</v>
      </c>
      <c r="F241" s="11" t="s">
        <v>35</v>
      </c>
      <c r="G241" s="11" t="s">
        <v>36</v>
      </c>
      <c r="H241" s="11">
        <v>2134</v>
      </c>
      <c r="I241" s="11">
        <v>1536</v>
      </c>
      <c r="K241" s="13">
        <v>43321</v>
      </c>
      <c r="L241">
        <v>2878</v>
      </c>
      <c r="AA241" s="1">
        <v>43326</v>
      </c>
      <c r="AB241">
        <v>3277</v>
      </c>
    </row>
    <row r="242" spans="1:28" x14ac:dyDescent="0.35">
      <c r="A242" s="11" t="s">
        <v>266</v>
      </c>
      <c r="B242" s="12">
        <v>43341</v>
      </c>
      <c r="C242" s="11" t="s">
        <v>38</v>
      </c>
      <c r="D242" s="11" t="s">
        <v>39</v>
      </c>
      <c r="E242" s="11" t="s">
        <v>40</v>
      </c>
      <c r="F242" s="11" t="s">
        <v>41</v>
      </c>
      <c r="G242" s="11" t="s">
        <v>42</v>
      </c>
      <c r="H242" s="11">
        <v>2661</v>
      </c>
      <c r="I242" s="11">
        <v>2022</v>
      </c>
      <c r="K242" s="13">
        <v>43322</v>
      </c>
      <c r="L242">
        <v>3425</v>
      </c>
      <c r="AA242" s="1">
        <v>43327</v>
      </c>
      <c r="AB242">
        <v>2713</v>
      </c>
    </row>
    <row r="243" spans="1:28" x14ac:dyDescent="0.35">
      <c r="A243" s="11" t="s">
        <v>267</v>
      </c>
      <c r="B243" s="12">
        <v>43342</v>
      </c>
      <c r="C243" s="11" t="s">
        <v>44</v>
      </c>
      <c r="D243" s="11" t="s">
        <v>33</v>
      </c>
      <c r="E243" s="11" t="s">
        <v>45</v>
      </c>
      <c r="F243" s="11" t="s">
        <v>46</v>
      </c>
      <c r="G243" s="11" t="s">
        <v>36</v>
      </c>
      <c r="H243" s="11">
        <v>2901</v>
      </c>
      <c r="I243" s="11">
        <v>1741</v>
      </c>
      <c r="K243" s="13">
        <v>43323</v>
      </c>
      <c r="L243">
        <v>2865</v>
      </c>
      <c r="AA243" s="1">
        <v>43328</v>
      </c>
      <c r="AB243">
        <v>3381</v>
      </c>
    </row>
    <row r="244" spans="1:28" x14ac:dyDescent="0.35">
      <c r="A244" s="11" t="s">
        <v>268</v>
      </c>
      <c r="B244" s="12">
        <v>43343</v>
      </c>
      <c r="C244" s="11" t="s">
        <v>48</v>
      </c>
      <c r="D244" s="11" t="s">
        <v>49</v>
      </c>
      <c r="E244" s="11" t="s">
        <v>50</v>
      </c>
      <c r="F244" s="11" t="s">
        <v>51</v>
      </c>
      <c r="G244" s="11" t="s">
        <v>42</v>
      </c>
      <c r="H244" s="11">
        <v>3784</v>
      </c>
      <c r="I244" s="11">
        <v>2384</v>
      </c>
      <c r="K244" s="13">
        <v>43324</v>
      </c>
      <c r="L244">
        <v>2393</v>
      </c>
      <c r="AA244" s="1">
        <v>43329</v>
      </c>
      <c r="AB244">
        <v>2545</v>
      </c>
    </row>
    <row r="245" spans="1:28" x14ac:dyDescent="0.35">
      <c r="A245" s="11" t="s">
        <v>269</v>
      </c>
      <c r="B245" s="12">
        <v>43344</v>
      </c>
      <c r="C245" s="11" t="s">
        <v>53</v>
      </c>
      <c r="D245" s="11" t="s">
        <v>49</v>
      </c>
      <c r="E245" s="11" t="s">
        <v>54</v>
      </c>
      <c r="F245" s="11" t="s">
        <v>55</v>
      </c>
      <c r="G245" s="11" t="s">
        <v>42</v>
      </c>
      <c r="H245" s="11">
        <v>3135</v>
      </c>
      <c r="I245" s="11">
        <v>2445</v>
      </c>
      <c r="K245" s="13">
        <v>43325</v>
      </c>
      <c r="L245">
        <v>3149</v>
      </c>
      <c r="AA245" s="1">
        <v>43330</v>
      </c>
      <c r="AB245">
        <v>4473</v>
      </c>
    </row>
    <row r="246" spans="1:28" x14ac:dyDescent="0.35">
      <c r="A246" s="11" t="s">
        <v>270</v>
      </c>
      <c r="B246" s="12">
        <v>43345</v>
      </c>
      <c r="C246" s="11" t="s">
        <v>57</v>
      </c>
      <c r="D246" s="11" t="s">
        <v>49</v>
      </c>
      <c r="E246" s="11" t="s">
        <v>54</v>
      </c>
      <c r="F246" s="11" t="s">
        <v>55</v>
      </c>
      <c r="G246" s="11" t="s">
        <v>42</v>
      </c>
      <c r="H246" s="11">
        <v>2802</v>
      </c>
      <c r="I246" s="11">
        <v>1877</v>
      </c>
      <c r="K246" s="13">
        <v>43326</v>
      </c>
      <c r="L246">
        <v>3277</v>
      </c>
      <c r="AA246" s="1">
        <v>43331</v>
      </c>
      <c r="AB246">
        <v>3332</v>
      </c>
    </row>
    <row r="247" spans="1:28" x14ac:dyDescent="0.35">
      <c r="A247" s="11" t="s">
        <v>271</v>
      </c>
      <c r="B247" s="12">
        <v>43346</v>
      </c>
      <c r="C247" s="11" t="s">
        <v>59</v>
      </c>
      <c r="D247" s="11" t="s">
        <v>60</v>
      </c>
      <c r="E247" s="11" t="s">
        <v>61</v>
      </c>
      <c r="F247" s="11" t="s">
        <v>62</v>
      </c>
      <c r="G247" s="11" t="s">
        <v>13</v>
      </c>
      <c r="H247" s="11">
        <v>3486</v>
      </c>
      <c r="I247" s="11">
        <v>2789</v>
      </c>
      <c r="K247" s="13">
        <v>43327</v>
      </c>
      <c r="L247">
        <v>2713</v>
      </c>
      <c r="AA247" s="1">
        <v>43332</v>
      </c>
      <c r="AB247">
        <v>2283</v>
      </c>
    </row>
    <row r="248" spans="1:28" x14ac:dyDescent="0.35">
      <c r="A248" s="11" t="s">
        <v>272</v>
      </c>
      <c r="B248" s="12">
        <v>43347</v>
      </c>
      <c r="C248" s="11" t="s">
        <v>64</v>
      </c>
      <c r="D248" s="11" t="s">
        <v>20</v>
      </c>
      <c r="E248" s="11" t="s">
        <v>65</v>
      </c>
      <c r="F248" s="11" t="s">
        <v>66</v>
      </c>
      <c r="G248" s="11" t="s">
        <v>13</v>
      </c>
      <c r="H248" s="11">
        <v>3422</v>
      </c>
      <c r="I248" s="11">
        <v>2122</v>
      </c>
      <c r="K248" s="13">
        <v>43328</v>
      </c>
      <c r="L248">
        <v>3381</v>
      </c>
      <c r="AA248" s="1">
        <v>43333</v>
      </c>
      <c r="AB248">
        <v>2696</v>
      </c>
    </row>
    <row r="249" spans="1:28" x14ac:dyDescent="0.35">
      <c r="A249" s="11" t="s">
        <v>273</v>
      </c>
      <c r="B249" s="12">
        <v>43348</v>
      </c>
      <c r="C249" s="11" t="s">
        <v>68</v>
      </c>
      <c r="D249" s="11" t="s">
        <v>69</v>
      </c>
      <c r="E249" s="11" t="s">
        <v>70</v>
      </c>
      <c r="F249" s="11" t="s">
        <v>71</v>
      </c>
      <c r="G249" s="11" t="s">
        <v>13</v>
      </c>
      <c r="H249" s="11">
        <v>2842</v>
      </c>
      <c r="I249" s="11">
        <v>2188</v>
      </c>
      <c r="K249" s="13">
        <v>43329</v>
      </c>
      <c r="L249">
        <v>2545</v>
      </c>
      <c r="AA249" s="1">
        <v>43334</v>
      </c>
      <c r="AB249">
        <v>4061</v>
      </c>
    </row>
    <row r="250" spans="1:28" x14ac:dyDescent="0.35">
      <c r="A250" s="11" t="s">
        <v>274</v>
      </c>
      <c r="B250" s="12">
        <v>43349</v>
      </c>
      <c r="C250" s="11" t="s">
        <v>73</v>
      </c>
      <c r="D250" s="11" t="s">
        <v>69</v>
      </c>
      <c r="E250" s="11" t="s">
        <v>70</v>
      </c>
      <c r="F250" s="11" t="s">
        <v>71</v>
      </c>
      <c r="G250" s="11" t="s">
        <v>13</v>
      </c>
      <c r="H250" s="11">
        <v>3846</v>
      </c>
      <c r="I250" s="11">
        <v>2500</v>
      </c>
      <c r="K250" s="13">
        <v>43330</v>
      </c>
      <c r="L250">
        <v>4473</v>
      </c>
      <c r="AA250" s="1">
        <v>43335</v>
      </c>
      <c r="AB250">
        <v>2382</v>
      </c>
    </row>
    <row r="251" spans="1:28" x14ac:dyDescent="0.35">
      <c r="A251" s="11" t="s">
        <v>275</v>
      </c>
      <c r="B251" s="12">
        <v>43350</v>
      </c>
      <c r="C251" s="11" t="s">
        <v>75</v>
      </c>
      <c r="D251" s="11" t="s">
        <v>49</v>
      </c>
      <c r="E251" s="11" t="s">
        <v>50</v>
      </c>
      <c r="F251" s="11" t="s">
        <v>76</v>
      </c>
      <c r="G251" s="11" t="s">
        <v>42</v>
      </c>
      <c r="H251" s="11">
        <v>3131</v>
      </c>
      <c r="I251" s="11">
        <v>2380</v>
      </c>
      <c r="K251" s="13">
        <v>43331</v>
      </c>
      <c r="L251">
        <v>3332</v>
      </c>
      <c r="AA251" s="1">
        <v>43336</v>
      </c>
      <c r="AB251">
        <v>4336</v>
      </c>
    </row>
    <row r="252" spans="1:28" x14ac:dyDescent="0.35">
      <c r="A252" s="11" t="s">
        <v>276</v>
      </c>
      <c r="B252" s="12">
        <v>43351</v>
      </c>
      <c r="C252" s="11" t="s">
        <v>78</v>
      </c>
      <c r="D252" s="11" t="s">
        <v>49</v>
      </c>
      <c r="E252" s="11" t="s">
        <v>50</v>
      </c>
      <c r="F252" s="11" t="s">
        <v>76</v>
      </c>
      <c r="G252" s="11" t="s">
        <v>42</v>
      </c>
      <c r="H252" s="11">
        <v>3825</v>
      </c>
      <c r="I252" s="11">
        <v>2333</v>
      </c>
      <c r="K252" s="13">
        <v>43332</v>
      </c>
      <c r="L252">
        <v>2283</v>
      </c>
      <c r="AA252" s="1">
        <v>43337</v>
      </c>
      <c r="AB252">
        <v>2602</v>
      </c>
    </row>
    <row r="253" spans="1:28" x14ac:dyDescent="0.35">
      <c r="A253" s="11" t="s">
        <v>277</v>
      </c>
      <c r="B253" s="12">
        <v>43352</v>
      </c>
      <c r="C253" s="11" t="s">
        <v>80</v>
      </c>
      <c r="D253" s="11" t="s">
        <v>49</v>
      </c>
      <c r="E253" s="11" t="s">
        <v>50</v>
      </c>
      <c r="F253" s="11" t="s">
        <v>76</v>
      </c>
      <c r="G253" s="11" t="s">
        <v>42</v>
      </c>
      <c r="H253" s="11">
        <v>4362</v>
      </c>
      <c r="I253" s="11">
        <v>3446</v>
      </c>
      <c r="K253" s="13">
        <v>43333</v>
      </c>
      <c r="L253">
        <v>2696</v>
      </c>
      <c r="AA253" s="1">
        <v>43338</v>
      </c>
      <c r="AB253">
        <v>3094</v>
      </c>
    </row>
    <row r="254" spans="1:28" x14ac:dyDescent="0.35">
      <c r="A254" s="11" t="s">
        <v>278</v>
      </c>
      <c r="B254" s="12">
        <v>43353</v>
      </c>
      <c r="C254" s="11" t="s">
        <v>10</v>
      </c>
      <c r="D254" s="11" t="s">
        <v>11</v>
      </c>
      <c r="E254" s="11" t="s">
        <v>12</v>
      </c>
      <c r="F254" s="11" t="s">
        <v>12</v>
      </c>
      <c r="G254" s="11" t="s">
        <v>13</v>
      </c>
      <c r="H254" s="11">
        <v>2934</v>
      </c>
      <c r="I254" s="11">
        <v>1819</v>
      </c>
      <c r="K254" s="13">
        <v>43334</v>
      </c>
      <c r="L254">
        <v>4061</v>
      </c>
      <c r="AA254" s="1">
        <v>43339</v>
      </c>
      <c r="AB254">
        <v>3510</v>
      </c>
    </row>
    <row r="255" spans="1:28" x14ac:dyDescent="0.35">
      <c r="A255" s="11" t="s">
        <v>279</v>
      </c>
      <c r="B255" s="12">
        <v>43354</v>
      </c>
      <c r="C255" s="11" t="s">
        <v>15</v>
      </c>
      <c r="D255" s="11" t="s">
        <v>11</v>
      </c>
      <c r="E255" s="11" t="s">
        <v>12</v>
      </c>
      <c r="F255" s="11" t="s">
        <v>12</v>
      </c>
      <c r="G255" s="11" t="s">
        <v>13</v>
      </c>
      <c r="H255" s="11">
        <v>4354</v>
      </c>
      <c r="I255" s="11">
        <v>2787</v>
      </c>
      <c r="K255" s="13">
        <v>43335</v>
      </c>
      <c r="L255">
        <v>2382</v>
      </c>
      <c r="AA255" s="1">
        <v>43340</v>
      </c>
      <c r="AB255">
        <v>2134</v>
      </c>
    </row>
    <row r="256" spans="1:28" x14ac:dyDescent="0.35">
      <c r="A256" s="11" t="s">
        <v>280</v>
      </c>
      <c r="B256" s="12">
        <v>43355</v>
      </c>
      <c r="C256" s="11" t="s">
        <v>17</v>
      </c>
      <c r="D256" s="11" t="s">
        <v>11</v>
      </c>
      <c r="E256" s="11" t="s">
        <v>12</v>
      </c>
      <c r="F256" s="11" t="s">
        <v>12</v>
      </c>
      <c r="G256" s="11" t="s">
        <v>13</v>
      </c>
      <c r="H256" s="11">
        <v>2102</v>
      </c>
      <c r="I256" s="11">
        <v>1534</v>
      </c>
      <c r="K256" s="13">
        <v>43336</v>
      </c>
      <c r="L256">
        <v>4336</v>
      </c>
      <c r="AA256" s="1">
        <v>43341</v>
      </c>
      <c r="AB256">
        <v>2661</v>
      </c>
    </row>
    <row r="257" spans="1:28" x14ac:dyDescent="0.35">
      <c r="A257" s="11" t="s">
        <v>281</v>
      </c>
      <c r="B257" s="12">
        <v>43356</v>
      </c>
      <c r="C257" s="11" t="s">
        <v>19</v>
      </c>
      <c r="D257" s="11" t="s">
        <v>20</v>
      </c>
      <c r="E257" s="11" t="s">
        <v>21</v>
      </c>
      <c r="F257" s="11" t="s">
        <v>22</v>
      </c>
      <c r="G257" s="11" t="s">
        <v>13</v>
      </c>
      <c r="H257" s="11">
        <v>3261</v>
      </c>
      <c r="I257" s="11">
        <v>2446</v>
      </c>
      <c r="K257" s="13">
        <v>43337</v>
      </c>
      <c r="L257">
        <v>2602</v>
      </c>
      <c r="AA257" s="1">
        <v>43342</v>
      </c>
      <c r="AB257">
        <v>2901</v>
      </c>
    </row>
    <row r="258" spans="1:28" x14ac:dyDescent="0.35">
      <c r="A258" s="11" t="s">
        <v>282</v>
      </c>
      <c r="B258" s="12">
        <v>43357</v>
      </c>
      <c r="C258" s="11" t="s">
        <v>24</v>
      </c>
      <c r="D258" s="11" t="s">
        <v>20</v>
      </c>
      <c r="E258" s="11" t="s">
        <v>21</v>
      </c>
      <c r="F258" s="11" t="s">
        <v>22</v>
      </c>
      <c r="G258" s="11" t="s">
        <v>13</v>
      </c>
      <c r="H258" s="11">
        <v>2577</v>
      </c>
      <c r="I258" s="11">
        <v>1907</v>
      </c>
      <c r="K258" s="13">
        <v>43338</v>
      </c>
      <c r="L258">
        <v>3094</v>
      </c>
      <c r="AA258" s="1">
        <v>43343</v>
      </c>
      <c r="AB258">
        <v>3784</v>
      </c>
    </row>
    <row r="259" spans="1:28" x14ac:dyDescent="0.35">
      <c r="A259" s="11" t="s">
        <v>283</v>
      </c>
      <c r="B259" s="12">
        <v>43358</v>
      </c>
      <c r="C259" s="11" t="s">
        <v>26</v>
      </c>
      <c r="D259" s="11" t="s">
        <v>20</v>
      </c>
      <c r="E259" s="11" t="s">
        <v>21</v>
      </c>
      <c r="F259" s="11" t="s">
        <v>22</v>
      </c>
      <c r="G259" s="11" t="s">
        <v>13</v>
      </c>
      <c r="H259" s="11">
        <v>3131</v>
      </c>
      <c r="I259" s="11">
        <v>1973</v>
      </c>
      <c r="K259" s="13">
        <v>43339</v>
      </c>
      <c r="L259">
        <v>3510</v>
      </c>
      <c r="Z259" t="s">
        <v>418</v>
      </c>
      <c r="AB259">
        <v>96420</v>
      </c>
    </row>
    <row r="260" spans="1:28" x14ac:dyDescent="0.35">
      <c r="A260" s="11" t="s">
        <v>284</v>
      </c>
      <c r="B260" s="12">
        <v>43359</v>
      </c>
      <c r="C260" s="11" t="s">
        <v>28</v>
      </c>
      <c r="D260" s="11" t="s">
        <v>20</v>
      </c>
      <c r="E260" s="11" t="s">
        <v>21</v>
      </c>
      <c r="F260" s="11" t="s">
        <v>22</v>
      </c>
      <c r="G260" s="11" t="s">
        <v>13</v>
      </c>
      <c r="H260" s="11">
        <v>2683</v>
      </c>
      <c r="I260" s="11">
        <v>1798</v>
      </c>
      <c r="K260" s="13">
        <v>43340</v>
      </c>
      <c r="L260">
        <v>2134</v>
      </c>
      <c r="Z260" t="s">
        <v>399</v>
      </c>
      <c r="AA260" s="1">
        <v>43344</v>
      </c>
      <c r="AB260">
        <v>3135</v>
      </c>
    </row>
    <row r="261" spans="1:28" x14ac:dyDescent="0.35">
      <c r="A261" s="11" t="s">
        <v>285</v>
      </c>
      <c r="B261" s="12">
        <v>43360</v>
      </c>
      <c r="C261" s="11" t="s">
        <v>30</v>
      </c>
      <c r="D261" s="11" t="s">
        <v>20</v>
      </c>
      <c r="E261" s="11" t="s">
        <v>21</v>
      </c>
      <c r="F261" s="11" t="s">
        <v>22</v>
      </c>
      <c r="G261" s="11" t="s">
        <v>13</v>
      </c>
      <c r="H261" s="11">
        <v>2613</v>
      </c>
      <c r="I261" s="11">
        <v>1751</v>
      </c>
      <c r="K261" s="13">
        <v>43341</v>
      </c>
      <c r="L261">
        <v>2661</v>
      </c>
      <c r="AA261" s="1">
        <v>43345</v>
      </c>
      <c r="AB261">
        <v>2802</v>
      </c>
    </row>
    <row r="262" spans="1:28" x14ac:dyDescent="0.35">
      <c r="A262" s="11" t="s">
        <v>286</v>
      </c>
      <c r="B262" s="12">
        <v>43361</v>
      </c>
      <c r="C262" s="11" t="s">
        <v>32</v>
      </c>
      <c r="D262" s="11" t="s">
        <v>33</v>
      </c>
      <c r="E262" s="11" t="s">
        <v>34</v>
      </c>
      <c r="F262" s="11" t="s">
        <v>35</v>
      </c>
      <c r="G262" s="11" t="s">
        <v>36</v>
      </c>
      <c r="H262" s="11">
        <v>4076</v>
      </c>
      <c r="I262" s="11">
        <v>2609</v>
      </c>
      <c r="K262" s="13">
        <v>43342</v>
      </c>
      <c r="L262">
        <v>2901</v>
      </c>
      <c r="AA262" s="1">
        <v>43346</v>
      </c>
      <c r="AB262">
        <v>3486</v>
      </c>
    </row>
    <row r="263" spans="1:28" x14ac:dyDescent="0.35">
      <c r="A263" s="11" t="s">
        <v>287</v>
      </c>
      <c r="B263" s="12">
        <v>43362</v>
      </c>
      <c r="C263" s="11" t="s">
        <v>38</v>
      </c>
      <c r="D263" s="11" t="s">
        <v>39</v>
      </c>
      <c r="E263" s="11" t="s">
        <v>40</v>
      </c>
      <c r="F263" s="11" t="s">
        <v>41</v>
      </c>
      <c r="G263" s="11" t="s">
        <v>42</v>
      </c>
      <c r="H263" s="11">
        <v>4400</v>
      </c>
      <c r="I263" s="11">
        <v>3432</v>
      </c>
      <c r="K263" s="13">
        <v>43343</v>
      </c>
      <c r="L263">
        <v>3784</v>
      </c>
      <c r="AA263" s="1">
        <v>43347</v>
      </c>
      <c r="AB263">
        <v>3422</v>
      </c>
    </row>
    <row r="264" spans="1:28" x14ac:dyDescent="0.35">
      <c r="A264" s="11" t="s">
        <v>288</v>
      </c>
      <c r="B264" s="12">
        <v>43363</v>
      </c>
      <c r="C264" s="11" t="s">
        <v>44</v>
      </c>
      <c r="D264" s="11" t="s">
        <v>33</v>
      </c>
      <c r="E264" s="11" t="s">
        <v>45</v>
      </c>
      <c r="F264" s="11" t="s">
        <v>46</v>
      </c>
      <c r="G264" s="11" t="s">
        <v>36</v>
      </c>
      <c r="H264" s="11">
        <v>2466</v>
      </c>
      <c r="I264" s="11">
        <v>1603</v>
      </c>
      <c r="K264" s="8" t="s">
        <v>399</v>
      </c>
      <c r="L264">
        <v>95376</v>
      </c>
      <c r="AA264" s="1">
        <v>43348</v>
      </c>
      <c r="AB264">
        <v>2842</v>
      </c>
    </row>
    <row r="265" spans="1:28" x14ac:dyDescent="0.35">
      <c r="A265" s="11" t="s">
        <v>289</v>
      </c>
      <c r="B265" s="12">
        <v>43364</v>
      </c>
      <c r="C265" s="11" t="s">
        <v>48</v>
      </c>
      <c r="D265" s="11" t="s">
        <v>49</v>
      </c>
      <c r="E265" s="11" t="s">
        <v>50</v>
      </c>
      <c r="F265" s="11" t="s">
        <v>51</v>
      </c>
      <c r="G265" s="11" t="s">
        <v>42</v>
      </c>
      <c r="H265" s="11">
        <v>2137</v>
      </c>
      <c r="I265" s="11">
        <v>1325</v>
      </c>
      <c r="K265" s="13">
        <v>43344</v>
      </c>
      <c r="L265">
        <v>3135</v>
      </c>
      <c r="AA265" s="1">
        <v>43349</v>
      </c>
      <c r="AB265">
        <v>3846</v>
      </c>
    </row>
    <row r="266" spans="1:28" x14ac:dyDescent="0.35">
      <c r="A266" s="11" t="s">
        <v>290</v>
      </c>
      <c r="B266" s="12">
        <v>43365</v>
      </c>
      <c r="C266" s="11" t="s">
        <v>53</v>
      </c>
      <c r="D266" s="11" t="s">
        <v>49</v>
      </c>
      <c r="E266" s="11" t="s">
        <v>54</v>
      </c>
      <c r="F266" s="11" t="s">
        <v>55</v>
      </c>
      <c r="G266" s="11" t="s">
        <v>42</v>
      </c>
      <c r="H266" s="11">
        <v>4216</v>
      </c>
      <c r="I266" s="11">
        <v>3162</v>
      </c>
      <c r="K266" s="13">
        <v>43345</v>
      </c>
      <c r="L266">
        <v>2802</v>
      </c>
      <c r="AA266" s="1">
        <v>43350</v>
      </c>
      <c r="AB266">
        <v>3131</v>
      </c>
    </row>
    <row r="267" spans="1:28" x14ac:dyDescent="0.35">
      <c r="A267" s="11" t="s">
        <v>291</v>
      </c>
      <c r="B267" s="12">
        <v>43366</v>
      </c>
      <c r="C267" s="11" t="s">
        <v>57</v>
      </c>
      <c r="D267" s="11" t="s">
        <v>49</v>
      </c>
      <c r="E267" s="11" t="s">
        <v>54</v>
      </c>
      <c r="F267" s="11" t="s">
        <v>55</v>
      </c>
      <c r="G267" s="11" t="s">
        <v>42</v>
      </c>
      <c r="H267" s="11">
        <v>3165</v>
      </c>
      <c r="I267" s="11">
        <v>2310</v>
      </c>
      <c r="K267" s="13">
        <v>43346</v>
      </c>
      <c r="L267">
        <v>3486</v>
      </c>
      <c r="AA267" s="1">
        <v>43351</v>
      </c>
      <c r="AB267">
        <v>3825</v>
      </c>
    </row>
    <row r="268" spans="1:28" x14ac:dyDescent="0.35">
      <c r="A268" s="11" t="s">
        <v>292</v>
      </c>
      <c r="B268" s="12">
        <v>43367</v>
      </c>
      <c r="C268" s="11" t="s">
        <v>59</v>
      </c>
      <c r="D268" s="11" t="s">
        <v>60</v>
      </c>
      <c r="E268" s="11" t="s">
        <v>61</v>
      </c>
      <c r="F268" s="11" t="s">
        <v>62</v>
      </c>
      <c r="G268" s="11" t="s">
        <v>13</v>
      </c>
      <c r="H268" s="11">
        <v>3263</v>
      </c>
      <c r="I268" s="11">
        <v>2545</v>
      </c>
      <c r="K268" s="13">
        <v>43347</v>
      </c>
      <c r="L268">
        <v>3422</v>
      </c>
      <c r="AA268" s="1">
        <v>43352</v>
      </c>
      <c r="AB268">
        <v>4362</v>
      </c>
    </row>
    <row r="269" spans="1:28" x14ac:dyDescent="0.35">
      <c r="A269" s="11" t="s">
        <v>293</v>
      </c>
      <c r="B269" s="12">
        <v>43368</v>
      </c>
      <c r="C269" s="11" t="s">
        <v>64</v>
      </c>
      <c r="D269" s="11" t="s">
        <v>20</v>
      </c>
      <c r="E269" s="11" t="s">
        <v>65</v>
      </c>
      <c r="F269" s="11" t="s">
        <v>66</v>
      </c>
      <c r="G269" s="11" t="s">
        <v>13</v>
      </c>
      <c r="H269" s="11">
        <v>2946</v>
      </c>
      <c r="I269" s="11">
        <v>2210</v>
      </c>
      <c r="K269" s="13">
        <v>43348</v>
      </c>
      <c r="L269">
        <v>2842</v>
      </c>
      <c r="AA269" s="1">
        <v>43353</v>
      </c>
      <c r="AB269">
        <v>2934</v>
      </c>
    </row>
    <row r="270" spans="1:28" x14ac:dyDescent="0.35">
      <c r="A270" s="11" t="s">
        <v>294</v>
      </c>
      <c r="B270" s="12">
        <v>43369</v>
      </c>
      <c r="C270" s="11" t="s">
        <v>68</v>
      </c>
      <c r="D270" s="11" t="s">
        <v>69</v>
      </c>
      <c r="E270" s="11" t="s">
        <v>70</v>
      </c>
      <c r="F270" s="11" t="s">
        <v>71</v>
      </c>
      <c r="G270" s="11" t="s">
        <v>13</v>
      </c>
      <c r="H270" s="11">
        <v>2989</v>
      </c>
      <c r="I270" s="11">
        <v>2212</v>
      </c>
      <c r="K270" s="13">
        <v>43349</v>
      </c>
      <c r="L270">
        <v>3846</v>
      </c>
      <c r="AA270" s="1">
        <v>43354</v>
      </c>
      <c r="AB270">
        <v>4354</v>
      </c>
    </row>
    <row r="271" spans="1:28" x14ac:dyDescent="0.35">
      <c r="A271" s="11" t="s">
        <v>295</v>
      </c>
      <c r="B271" s="12">
        <v>43370</v>
      </c>
      <c r="C271" s="11" t="s">
        <v>73</v>
      </c>
      <c r="D271" s="11" t="s">
        <v>69</v>
      </c>
      <c r="E271" s="11" t="s">
        <v>70</v>
      </c>
      <c r="F271" s="11" t="s">
        <v>71</v>
      </c>
      <c r="G271" s="11" t="s">
        <v>13</v>
      </c>
      <c r="H271" s="11">
        <v>3463</v>
      </c>
      <c r="I271" s="11">
        <v>2770</v>
      </c>
      <c r="K271" s="13">
        <v>43350</v>
      </c>
      <c r="L271">
        <v>3131</v>
      </c>
      <c r="AA271" s="1">
        <v>43355</v>
      </c>
      <c r="AB271">
        <v>2102</v>
      </c>
    </row>
    <row r="272" spans="1:28" x14ac:dyDescent="0.35">
      <c r="A272" s="11" t="s">
        <v>296</v>
      </c>
      <c r="B272" s="12">
        <v>43371</v>
      </c>
      <c r="C272" s="11" t="s">
        <v>75</v>
      </c>
      <c r="D272" s="11" t="s">
        <v>49</v>
      </c>
      <c r="E272" s="11" t="s">
        <v>50</v>
      </c>
      <c r="F272" s="11" t="s">
        <v>76</v>
      </c>
      <c r="G272" s="11" t="s">
        <v>42</v>
      </c>
      <c r="H272" s="11">
        <v>2677</v>
      </c>
      <c r="I272" s="11">
        <v>2088</v>
      </c>
      <c r="K272" s="13">
        <v>43351</v>
      </c>
      <c r="L272">
        <v>3825</v>
      </c>
      <c r="AA272" s="1">
        <v>43356</v>
      </c>
      <c r="AB272">
        <v>3261</v>
      </c>
    </row>
    <row r="273" spans="1:28" x14ac:dyDescent="0.35">
      <c r="A273" s="11" t="s">
        <v>297</v>
      </c>
      <c r="B273" s="12">
        <v>43372</v>
      </c>
      <c r="C273" s="11" t="s">
        <v>78</v>
      </c>
      <c r="D273" s="11" t="s">
        <v>49</v>
      </c>
      <c r="E273" s="11" t="s">
        <v>50</v>
      </c>
      <c r="F273" s="11" t="s">
        <v>76</v>
      </c>
      <c r="G273" s="11" t="s">
        <v>42</v>
      </c>
      <c r="H273" s="11">
        <v>2966</v>
      </c>
      <c r="I273" s="11">
        <v>1928</v>
      </c>
      <c r="K273" s="13">
        <v>43352</v>
      </c>
      <c r="L273">
        <v>4362</v>
      </c>
      <c r="AA273" s="1">
        <v>43357</v>
      </c>
      <c r="AB273">
        <v>2577</v>
      </c>
    </row>
    <row r="274" spans="1:28" x14ac:dyDescent="0.35">
      <c r="A274" s="11" t="s">
        <v>298</v>
      </c>
      <c r="B274" s="12">
        <v>43373</v>
      </c>
      <c r="C274" s="11" t="s">
        <v>80</v>
      </c>
      <c r="D274" s="11" t="s">
        <v>49</v>
      </c>
      <c r="E274" s="11" t="s">
        <v>50</v>
      </c>
      <c r="F274" s="11" t="s">
        <v>76</v>
      </c>
      <c r="G274" s="11" t="s">
        <v>42</v>
      </c>
      <c r="H274" s="11">
        <v>2106</v>
      </c>
      <c r="I274" s="11">
        <v>1516</v>
      </c>
      <c r="K274" s="13">
        <v>43353</v>
      </c>
      <c r="L274">
        <v>2934</v>
      </c>
      <c r="AA274" s="1">
        <v>43358</v>
      </c>
      <c r="AB274">
        <v>3131</v>
      </c>
    </row>
    <row r="275" spans="1:28" x14ac:dyDescent="0.35">
      <c r="A275" s="11" t="s">
        <v>299</v>
      </c>
      <c r="B275" s="12">
        <v>43374</v>
      </c>
      <c r="C275" s="11" t="s">
        <v>10</v>
      </c>
      <c r="D275" s="11" t="s">
        <v>11</v>
      </c>
      <c r="E275" s="11" t="s">
        <v>12</v>
      </c>
      <c r="F275" s="11" t="s">
        <v>12</v>
      </c>
      <c r="G275" s="11" t="s">
        <v>13</v>
      </c>
      <c r="H275" s="11">
        <v>3664</v>
      </c>
      <c r="I275" s="11">
        <v>2272</v>
      </c>
      <c r="K275" s="13">
        <v>43354</v>
      </c>
      <c r="L275">
        <v>4354</v>
      </c>
      <c r="AA275" s="1">
        <v>43359</v>
      </c>
      <c r="AB275">
        <v>2683</v>
      </c>
    </row>
    <row r="276" spans="1:28" x14ac:dyDescent="0.35">
      <c r="A276" s="11" t="s">
        <v>300</v>
      </c>
      <c r="B276" s="12">
        <v>43375</v>
      </c>
      <c r="C276" s="11" t="s">
        <v>15</v>
      </c>
      <c r="D276" s="11" t="s">
        <v>11</v>
      </c>
      <c r="E276" s="11" t="s">
        <v>12</v>
      </c>
      <c r="F276" s="11" t="s">
        <v>12</v>
      </c>
      <c r="G276" s="11" t="s">
        <v>13</v>
      </c>
      <c r="H276" s="11">
        <v>3069</v>
      </c>
      <c r="I276" s="11">
        <v>2240</v>
      </c>
      <c r="K276" s="13">
        <v>43355</v>
      </c>
      <c r="L276">
        <v>2102</v>
      </c>
      <c r="AA276" s="1">
        <v>43360</v>
      </c>
      <c r="AB276">
        <v>2613</v>
      </c>
    </row>
    <row r="277" spans="1:28" x14ac:dyDescent="0.35">
      <c r="A277" s="11" t="s">
        <v>301</v>
      </c>
      <c r="B277" s="12">
        <v>43376</v>
      </c>
      <c r="C277" s="11" t="s">
        <v>17</v>
      </c>
      <c r="D277" s="11" t="s">
        <v>11</v>
      </c>
      <c r="E277" s="11" t="s">
        <v>12</v>
      </c>
      <c r="F277" s="11" t="s">
        <v>12</v>
      </c>
      <c r="G277" s="11" t="s">
        <v>13</v>
      </c>
      <c r="H277" s="11">
        <v>3755</v>
      </c>
      <c r="I277" s="11">
        <v>2516</v>
      </c>
      <c r="K277" s="13">
        <v>43356</v>
      </c>
      <c r="L277">
        <v>3261</v>
      </c>
      <c r="AA277" s="1">
        <v>43361</v>
      </c>
      <c r="AB277">
        <v>4076</v>
      </c>
    </row>
    <row r="278" spans="1:28" x14ac:dyDescent="0.35">
      <c r="A278" s="11" t="s">
        <v>302</v>
      </c>
      <c r="B278" s="12">
        <v>43377</v>
      </c>
      <c r="C278" s="11" t="s">
        <v>19</v>
      </c>
      <c r="D278" s="11" t="s">
        <v>20</v>
      </c>
      <c r="E278" s="11" t="s">
        <v>21</v>
      </c>
      <c r="F278" s="11" t="s">
        <v>22</v>
      </c>
      <c r="G278" s="11" t="s">
        <v>13</v>
      </c>
      <c r="H278" s="11">
        <v>3215</v>
      </c>
      <c r="I278" s="11">
        <v>2058</v>
      </c>
      <c r="K278" s="13">
        <v>43357</v>
      </c>
      <c r="L278">
        <v>2577</v>
      </c>
      <c r="AA278" s="1">
        <v>43362</v>
      </c>
      <c r="AB278">
        <v>4400</v>
      </c>
    </row>
    <row r="279" spans="1:28" x14ac:dyDescent="0.35">
      <c r="A279" s="11" t="s">
        <v>303</v>
      </c>
      <c r="B279" s="12">
        <v>43378</v>
      </c>
      <c r="C279" s="11" t="s">
        <v>24</v>
      </c>
      <c r="D279" s="11" t="s">
        <v>20</v>
      </c>
      <c r="E279" s="11" t="s">
        <v>21</v>
      </c>
      <c r="F279" s="11" t="s">
        <v>22</v>
      </c>
      <c r="G279" s="11" t="s">
        <v>13</v>
      </c>
      <c r="H279" s="11">
        <v>3685</v>
      </c>
      <c r="I279" s="11">
        <v>2543</v>
      </c>
      <c r="K279" s="13">
        <v>43358</v>
      </c>
      <c r="L279">
        <v>3131</v>
      </c>
      <c r="AA279" s="1">
        <v>43363</v>
      </c>
      <c r="AB279">
        <v>2466</v>
      </c>
    </row>
    <row r="280" spans="1:28" x14ac:dyDescent="0.35">
      <c r="A280" s="11" t="s">
        <v>304</v>
      </c>
      <c r="B280" s="12">
        <v>43379</v>
      </c>
      <c r="C280" s="11" t="s">
        <v>26</v>
      </c>
      <c r="D280" s="11" t="s">
        <v>20</v>
      </c>
      <c r="E280" s="11" t="s">
        <v>21</v>
      </c>
      <c r="F280" s="11" t="s">
        <v>22</v>
      </c>
      <c r="G280" s="11" t="s">
        <v>13</v>
      </c>
      <c r="H280" s="11">
        <v>4015</v>
      </c>
      <c r="I280" s="11">
        <v>2730</v>
      </c>
      <c r="K280" s="13">
        <v>43359</v>
      </c>
      <c r="L280">
        <v>2683</v>
      </c>
      <c r="AA280" s="1">
        <v>43364</v>
      </c>
      <c r="AB280">
        <v>2137</v>
      </c>
    </row>
    <row r="281" spans="1:28" x14ac:dyDescent="0.35">
      <c r="A281" s="11" t="s">
        <v>305</v>
      </c>
      <c r="B281" s="12">
        <v>43380</v>
      </c>
      <c r="C281" s="11" t="s">
        <v>28</v>
      </c>
      <c r="D281" s="11" t="s">
        <v>20</v>
      </c>
      <c r="E281" s="11" t="s">
        <v>21</v>
      </c>
      <c r="F281" s="11" t="s">
        <v>22</v>
      </c>
      <c r="G281" s="11" t="s">
        <v>13</v>
      </c>
      <c r="H281" s="11">
        <v>2517</v>
      </c>
      <c r="I281" s="11">
        <v>1661</v>
      </c>
      <c r="K281" s="13">
        <v>43360</v>
      </c>
      <c r="L281">
        <v>2613</v>
      </c>
      <c r="AA281" s="1">
        <v>43365</v>
      </c>
      <c r="AB281">
        <v>4216</v>
      </c>
    </row>
    <row r="282" spans="1:28" x14ac:dyDescent="0.35">
      <c r="A282" s="11" t="s">
        <v>306</v>
      </c>
      <c r="B282" s="12">
        <v>43381</v>
      </c>
      <c r="C282" s="11" t="s">
        <v>30</v>
      </c>
      <c r="D282" s="11" t="s">
        <v>20</v>
      </c>
      <c r="E282" s="11" t="s">
        <v>21</v>
      </c>
      <c r="F282" s="11" t="s">
        <v>22</v>
      </c>
      <c r="G282" s="11" t="s">
        <v>13</v>
      </c>
      <c r="H282" s="11">
        <v>2598</v>
      </c>
      <c r="I282" s="11">
        <v>1793</v>
      </c>
      <c r="K282" s="13">
        <v>43361</v>
      </c>
      <c r="L282">
        <v>4076</v>
      </c>
      <c r="AA282" s="1">
        <v>43366</v>
      </c>
      <c r="AB282">
        <v>3165</v>
      </c>
    </row>
    <row r="283" spans="1:28" x14ac:dyDescent="0.35">
      <c r="A283" s="11" t="s">
        <v>307</v>
      </c>
      <c r="B283" s="12">
        <v>43382</v>
      </c>
      <c r="C283" s="11" t="s">
        <v>32</v>
      </c>
      <c r="D283" s="11" t="s">
        <v>33</v>
      </c>
      <c r="E283" s="11" t="s">
        <v>34</v>
      </c>
      <c r="F283" s="11" t="s">
        <v>35</v>
      </c>
      <c r="G283" s="11" t="s">
        <v>36</v>
      </c>
      <c r="H283" s="11">
        <v>3513</v>
      </c>
      <c r="I283" s="11">
        <v>2740</v>
      </c>
      <c r="K283" s="13">
        <v>43362</v>
      </c>
      <c r="L283">
        <v>4400</v>
      </c>
      <c r="AA283" s="1">
        <v>43367</v>
      </c>
      <c r="AB283">
        <v>3263</v>
      </c>
    </row>
    <row r="284" spans="1:28" x14ac:dyDescent="0.35">
      <c r="A284" s="11" t="s">
        <v>308</v>
      </c>
      <c r="B284" s="12">
        <v>43383</v>
      </c>
      <c r="C284" s="11" t="s">
        <v>38</v>
      </c>
      <c r="D284" s="11" t="s">
        <v>39</v>
      </c>
      <c r="E284" s="11" t="s">
        <v>40</v>
      </c>
      <c r="F284" s="11" t="s">
        <v>41</v>
      </c>
      <c r="G284" s="11" t="s">
        <v>42</v>
      </c>
      <c r="H284" s="11">
        <v>2247</v>
      </c>
      <c r="I284" s="11">
        <v>1775</v>
      </c>
      <c r="K284" s="13">
        <v>43363</v>
      </c>
      <c r="L284">
        <v>2466</v>
      </c>
      <c r="AA284" s="1">
        <v>43368</v>
      </c>
      <c r="AB284">
        <v>2946</v>
      </c>
    </row>
    <row r="285" spans="1:28" x14ac:dyDescent="0.35">
      <c r="A285" s="11" t="s">
        <v>309</v>
      </c>
      <c r="B285" s="12">
        <v>43384</v>
      </c>
      <c r="C285" s="11" t="s">
        <v>44</v>
      </c>
      <c r="D285" s="11" t="s">
        <v>33</v>
      </c>
      <c r="E285" s="11" t="s">
        <v>45</v>
      </c>
      <c r="F285" s="11" t="s">
        <v>46</v>
      </c>
      <c r="G285" s="11" t="s">
        <v>36</v>
      </c>
      <c r="H285" s="11">
        <v>2878</v>
      </c>
      <c r="I285" s="11">
        <v>1784</v>
      </c>
      <c r="K285" s="13">
        <v>43364</v>
      </c>
      <c r="L285">
        <v>2137</v>
      </c>
      <c r="AA285" s="1">
        <v>43369</v>
      </c>
      <c r="AB285">
        <v>2989</v>
      </c>
    </row>
    <row r="286" spans="1:28" x14ac:dyDescent="0.35">
      <c r="A286" s="11" t="s">
        <v>310</v>
      </c>
      <c r="B286" s="12">
        <v>43385</v>
      </c>
      <c r="C286" s="11" t="s">
        <v>48</v>
      </c>
      <c r="D286" s="11" t="s">
        <v>49</v>
      </c>
      <c r="E286" s="11" t="s">
        <v>50</v>
      </c>
      <c r="F286" s="11" t="s">
        <v>51</v>
      </c>
      <c r="G286" s="11" t="s">
        <v>42</v>
      </c>
      <c r="H286" s="11">
        <v>3425</v>
      </c>
      <c r="I286" s="11">
        <v>2706</v>
      </c>
      <c r="K286" s="13">
        <v>43365</v>
      </c>
      <c r="L286">
        <v>4216</v>
      </c>
      <c r="AA286" s="1">
        <v>43370</v>
      </c>
      <c r="AB286">
        <v>3463</v>
      </c>
    </row>
    <row r="287" spans="1:28" x14ac:dyDescent="0.35">
      <c r="A287" s="11" t="s">
        <v>311</v>
      </c>
      <c r="B287" s="12">
        <v>43386</v>
      </c>
      <c r="C287" s="11" t="s">
        <v>53</v>
      </c>
      <c r="D287" s="11" t="s">
        <v>49</v>
      </c>
      <c r="E287" s="11" t="s">
        <v>54</v>
      </c>
      <c r="F287" s="11" t="s">
        <v>55</v>
      </c>
      <c r="G287" s="11" t="s">
        <v>42</v>
      </c>
      <c r="H287" s="11">
        <v>2865</v>
      </c>
      <c r="I287" s="11">
        <v>2091</v>
      </c>
      <c r="K287" s="13">
        <v>43366</v>
      </c>
      <c r="L287">
        <v>3165</v>
      </c>
      <c r="AA287" s="1">
        <v>43371</v>
      </c>
      <c r="AB287">
        <v>2677</v>
      </c>
    </row>
    <row r="288" spans="1:28" x14ac:dyDescent="0.35">
      <c r="A288" s="11" t="s">
        <v>312</v>
      </c>
      <c r="B288" s="12">
        <v>43387</v>
      </c>
      <c r="C288" s="11" t="s">
        <v>57</v>
      </c>
      <c r="D288" s="11" t="s">
        <v>49</v>
      </c>
      <c r="E288" s="11" t="s">
        <v>54</v>
      </c>
      <c r="F288" s="11" t="s">
        <v>55</v>
      </c>
      <c r="G288" s="11" t="s">
        <v>42</v>
      </c>
      <c r="H288" s="11">
        <v>2393</v>
      </c>
      <c r="I288" s="11">
        <v>1723</v>
      </c>
      <c r="K288" s="13">
        <v>43367</v>
      </c>
      <c r="L288">
        <v>3263</v>
      </c>
      <c r="AA288" s="1">
        <v>43372</v>
      </c>
      <c r="AB288">
        <v>2966</v>
      </c>
    </row>
    <row r="289" spans="1:28" x14ac:dyDescent="0.35">
      <c r="A289" s="11" t="s">
        <v>313</v>
      </c>
      <c r="B289" s="12">
        <v>43388</v>
      </c>
      <c r="C289" s="11" t="s">
        <v>59</v>
      </c>
      <c r="D289" s="11" t="s">
        <v>60</v>
      </c>
      <c r="E289" s="11" t="s">
        <v>61</v>
      </c>
      <c r="F289" s="11" t="s">
        <v>62</v>
      </c>
      <c r="G289" s="11" t="s">
        <v>13</v>
      </c>
      <c r="H289" s="11">
        <v>3149</v>
      </c>
      <c r="I289" s="11">
        <v>2299</v>
      </c>
      <c r="K289" s="13">
        <v>43368</v>
      </c>
      <c r="L289">
        <v>2946</v>
      </c>
      <c r="AA289" s="1">
        <v>43373</v>
      </c>
      <c r="AB289">
        <v>2106</v>
      </c>
    </row>
    <row r="290" spans="1:28" x14ac:dyDescent="0.35">
      <c r="A290" s="11" t="s">
        <v>314</v>
      </c>
      <c r="B290" s="12">
        <v>43389</v>
      </c>
      <c r="C290" s="11" t="s">
        <v>64</v>
      </c>
      <c r="D290" s="11" t="s">
        <v>20</v>
      </c>
      <c r="E290" s="11" t="s">
        <v>65</v>
      </c>
      <c r="F290" s="11" t="s">
        <v>66</v>
      </c>
      <c r="G290" s="11" t="s">
        <v>13</v>
      </c>
      <c r="H290" s="11">
        <v>3277</v>
      </c>
      <c r="I290" s="11">
        <v>2130</v>
      </c>
      <c r="K290" s="13">
        <v>43369</v>
      </c>
      <c r="L290">
        <v>2989</v>
      </c>
      <c r="Z290" t="s">
        <v>419</v>
      </c>
      <c r="AB290">
        <v>95376</v>
      </c>
    </row>
    <row r="291" spans="1:28" x14ac:dyDescent="0.35">
      <c r="A291" s="11" t="s">
        <v>315</v>
      </c>
      <c r="B291" s="12">
        <v>43390</v>
      </c>
      <c r="C291" s="11" t="s">
        <v>68</v>
      </c>
      <c r="D291" s="11" t="s">
        <v>69</v>
      </c>
      <c r="E291" s="11" t="s">
        <v>70</v>
      </c>
      <c r="F291" s="11" t="s">
        <v>71</v>
      </c>
      <c r="G291" s="11" t="s">
        <v>13</v>
      </c>
      <c r="H291" s="11">
        <v>2713</v>
      </c>
      <c r="I291" s="11">
        <v>1682</v>
      </c>
      <c r="K291" s="13">
        <v>43370</v>
      </c>
      <c r="L291">
        <v>3463</v>
      </c>
      <c r="Y291" t="s">
        <v>426</v>
      </c>
      <c r="AB291">
        <v>290770</v>
      </c>
    </row>
    <row r="292" spans="1:28" x14ac:dyDescent="0.35">
      <c r="A292" s="11" t="s">
        <v>316</v>
      </c>
      <c r="B292" s="12">
        <v>43391</v>
      </c>
      <c r="C292" s="11" t="s">
        <v>73</v>
      </c>
      <c r="D292" s="11" t="s">
        <v>69</v>
      </c>
      <c r="E292" s="11" t="s">
        <v>70</v>
      </c>
      <c r="F292" s="11" t="s">
        <v>71</v>
      </c>
      <c r="G292" s="11" t="s">
        <v>13</v>
      </c>
      <c r="H292" s="11">
        <v>3381</v>
      </c>
      <c r="I292" s="11">
        <v>2231</v>
      </c>
      <c r="K292" s="13">
        <v>43371</v>
      </c>
      <c r="L292">
        <v>2677</v>
      </c>
      <c r="Y292" t="s">
        <v>406</v>
      </c>
      <c r="Z292" t="s">
        <v>400</v>
      </c>
      <c r="AA292" s="1">
        <v>43374</v>
      </c>
      <c r="AB292">
        <v>3664</v>
      </c>
    </row>
    <row r="293" spans="1:28" x14ac:dyDescent="0.35">
      <c r="A293" s="11" t="s">
        <v>317</v>
      </c>
      <c r="B293" s="12">
        <v>43392</v>
      </c>
      <c r="C293" s="11" t="s">
        <v>75</v>
      </c>
      <c r="D293" s="11" t="s">
        <v>49</v>
      </c>
      <c r="E293" s="11" t="s">
        <v>50</v>
      </c>
      <c r="F293" s="11" t="s">
        <v>76</v>
      </c>
      <c r="G293" s="11" t="s">
        <v>42</v>
      </c>
      <c r="H293" s="11">
        <v>2545</v>
      </c>
      <c r="I293" s="11">
        <v>2011</v>
      </c>
      <c r="K293" s="13">
        <v>43372</v>
      </c>
      <c r="L293">
        <v>2966</v>
      </c>
      <c r="AA293" s="1">
        <v>43375</v>
      </c>
      <c r="AB293">
        <v>3069</v>
      </c>
    </row>
    <row r="294" spans="1:28" x14ac:dyDescent="0.35">
      <c r="A294" s="11" t="s">
        <v>318</v>
      </c>
      <c r="B294" s="12">
        <v>43393</v>
      </c>
      <c r="C294" s="11" t="s">
        <v>78</v>
      </c>
      <c r="D294" s="11" t="s">
        <v>49</v>
      </c>
      <c r="E294" s="11" t="s">
        <v>50</v>
      </c>
      <c r="F294" s="11" t="s">
        <v>76</v>
      </c>
      <c r="G294" s="11" t="s">
        <v>42</v>
      </c>
      <c r="H294" s="11">
        <v>4473</v>
      </c>
      <c r="I294" s="11">
        <v>2729</v>
      </c>
      <c r="K294" s="13">
        <v>43373</v>
      </c>
      <c r="L294">
        <v>2106</v>
      </c>
      <c r="AA294" s="1">
        <v>43376</v>
      </c>
      <c r="AB294">
        <v>3755</v>
      </c>
    </row>
    <row r="295" spans="1:28" x14ac:dyDescent="0.35">
      <c r="A295" s="11" t="s">
        <v>319</v>
      </c>
      <c r="B295" s="12">
        <v>43394</v>
      </c>
      <c r="C295" s="11" t="s">
        <v>80</v>
      </c>
      <c r="D295" s="11" t="s">
        <v>49</v>
      </c>
      <c r="E295" s="11" t="s">
        <v>50</v>
      </c>
      <c r="F295" s="11" t="s">
        <v>76</v>
      </c>
      <c r="G295" s="11" t="s">
        <v>42</v>
      </c>
      <c r="H295" s="11">
        <v>3332</v>
      </c>
      <c r="I295" s="11">
        <v>2132</v>
      </c>
      <c r="K295" s="7" t="s">
        <v>406</v>
      </c>
      <c r="L295">
        <v>290202</v>
      </c>
      <c r="AA295" s="1">
        <v>43377</v>
      </c>
      <c r="AB295">
        <v>3215</v>
      </c>
    </row>
    <row r="296" spans="1:28" x14ac:dyDescent="0.35">
      <c r="A296" s="11" t="s">
        <v>320</v>
      </c>
      <c r="B296" s="12">
        <v>43395</v>
      </c>
      <c r="C296" s="11" t="s">
        <v>10</v>
      </c>
      <c r="D296" s="11" t="s">
        <v>11</v>
      </c>
      <c r="E296" s="11" t="s">
        <v>12</v>
      </c>
      <c r="F296" s="11" t="s">
        <v>12</v>
      </c>
      <c r="G296" s="11" t="s">
        <v>13</v>
      </c>
      <c r="H296" s="11">
        <v>2283</v>
      </c>
      <c r="I296" s="11">
        <v>1438</v>
      </c>
      <c r="K296" s="8" t="s">
        <v>400</v>
      </c>
      <c r="L296">
        <v>96468</v>
      </c>
      <c r="AA296" s="1">
        <v>43378</v>
      </c>
      <c r="AB296">
        <v>3685</v>
      </c>
    </row>
    <row r="297" spans="1:28" x14ac:dyDescent="0.35">
      <c r="A297" s="11" t="s">
        <v>321</v>
      </c>
      <c r="B297" s="12">
        <v>43396</v>
      </c>
      <c r="C297" s="11" t="s">
        <v>15</v>
      </c>
      <c r="D297" s="11" t="s">
        <v>11</v>
      </c>
      <c r="E297" s="11" t="s">
        <v>12</v>
      </c>
      <c r="F297" s="11" t="s">
        <v>12</v>
      </c>
      <c r="G297" s="11" t="s">
        <v>13</v>
      </c>
      <c r="H297" s="11">
        <v>2696</v>
      </c>
      <c r="I297" s="11">
        <v>1833</v>
      </c>
      <c r="K297" s="13">
        <v>43374</v>
      </c>
      <c r="L297">
        <v>3664</v>
      </c>
      <c r="AA297" s="1">
        <v>43379</v>
      </c>
      <c r="AB297">
        <v>4015</v>
      </c>
    </row>
    <row r="298" spans="1:28" x14ac:dyDescent="0.35">
      <c r="A298" s="11" t="s">
        <v>322</v>
      </c>
      <c r="B298" s="12">
        <v>43397</v>
      </c>
      <c r="C298" s="11" t="s">
        <v>17</v>
      </c>
      <c r="D298" s="11" t="s">
        <v>11</v>
      </c>
      <c r="E298" s="11" t="s">
        <v>12</v>
      </c>
      <c r="F298" s="11" t="s">
        <v>12</v>
      </c>
      <c r="G298" s="11" t="s">
        <v>13</v>
      </c>
      <c r="H298" s="11">
        <v>4061</v>
      </c>
      <c r="I298" s="11">
        <v>3127</v>
      </c>
      <c r="K298" s="13">
        <v>43375</v>
      </c>
      <c r="L298">
        <v>3069</v>
      </c>
      <c r="AA298" s="1">
        <v>43380</v>
      </c>
      <c r="AB298">
        <v>2517</v>
      </c>
    </row>
    <row r="299" spans="1:28" x14ac:dyDescent="0.35">
      <c r="A299" s="11" t="s">
        <v>323</v>
      </c>
      <c r="B299" s="12">
        <v>43398</v>
      </c>
      <c r="C299" s="11" t="s">
        <v>19</v>
      </c>
      <c r="D299" s="11" t="s">
        <v>20</v>
      </c>
      <c r="E299" s="11" t="s">
        <v>21</v>
      </c>
      <c r="F299" s="11" t="s">
        <v>22</v>
      </c>
      <c r="G299" s="11" t="s">
        <v>13</v>
      </c>
      <c r="H299" s="11">
        <v>2382</v>
      </c>
      <c r="I299" s="11">
        <v>1548</v>
      </c>
      <c r="K299" s="13">
        <v>43376</v>
      </c>
      <c r="L299">
        <v>3755</v>
      </c>
      <c r="AA299" s="1">
        <v>43381</v>
      </c>
      <c r="AB299">
        <v>2598</v>
      </c>
    </row>
    <row r="300" spans="1:28" x14ac:dyDescent="0.35">
      <c r="A300" s="11" t="s">
        <v>324</v>
      </c>
      <c r="B300" s="12">
        <v>43399</v>
      </c>
      <c r="C300" s="11" t="s">
        <v>24</v>
      </c>
      <c r="D300" s="11" t="s">
        <v>20</v>
      </c>
      <c r="E300" s="11" t="s">
        <v>21</v>
      </c>
      <c r="F300" s="11" t="s">
        <v>22</v>
      </c>
      <c r="G300" s="11" t="s">
        <v>13</v>
      </c>
      <c r="H300" s="11">
        <v>4336</v>
      </c>
      <c r="I300" s="11">
        <v>2602</v>
      </c>
      <c r="K300" s="13">
        <v>43377</v>
      </c>
      <c r="L300">
        <v>3215</v>
      </c>
      <c r="AA300" s="1">
        <v>43382</v>
      </c>
      <c r="AB300">
        <v>3513</v>
      </c>
    </row>
    <row r="301" spans="1:28" x14ac:dyDescent="0.35">
      <c r="A301" s="11" t="s">
        <v>325</v>
      </c>
      <c r="B301" s="12">
        <v>43400</v>
      </c>
      <c r="C301" s="11" t="s">
        <v>26</v>
      </c>
      <c r="D301" s="11" t="s">
        <v>20</v>
      </c>
      <c r="E301" s="11" t="s">
        <v>21</v>
      </c>
      <c r="F301" s="11" t="s">
        <v>22</v>
      </c>
      <c r="G301" s="11" t="s">
        <v>13</v>
      </c>
      <c r="H301" s="11">
        <v>2602</v>
      </c>
      <c r="I301" s="11">
        <v>2004</v>
      </c>
      <c r="K301" s="13">
        <v>43378</v>
      </c>
      <c r="L301">
        <v>3685</v>
      </c>
      <c r="AA301" s="1">
        <v>43383</v>
      </c>
      <c r="AB301">
        <v>2247</v>
      </c>
    </row>
    <row r="302" spans="1:28" x14ac:dyDescent="0.35">
      <c r="A302" s="11" t="s">
        <v>326</v>
      </c>
      <c r="B302" s="12">
        <v>43401</v>
      </c>
      <c r="C302" s="11" t="s">
        <v>28</v>
      </c>
      <c r="D302" s="11" t="s">
        <v>20</v>
      </c>
      <c r="E302" s="11" t="s">
        <v>21</v>
      </c>
      <c r="F302" s="11" t="s">
        <v>22</v>
      </c>
      <c r="G302" s="11" t="s">
        <v>13</v>
      </c>
      <c r="H302" s="11">
        <v>3094</v>
      </c>
      <c r="I302" s="11">
        <v>2073</v>
      </c>
      <c r="K302" s="13">
        <v>43379</v>
      </c>
      <c r="L302">
        <v>4015</v>
      </c>
      <c r="AA302" s="1">
        <v>43384</v>
      </c>
      <c r="AB302">
        <v>2878</v>
      </c>
    </row>
    <row r="303" spans="1:28" x14ac:dyDescent="0.35">
      <c r="A303" s="11" t="s">
        <v>327</v>
      </c>
      <c r="B303" s="12">
        <v>43402</v>
      </c>
      <c r="C303" s="11" t="s">
        <v>30</v>
      </c>
      <c r="D303" s="11" t="s">
        <v>20</v>
      </c>
      <c r="E303" s="11" t="s">
        <v>21</v>
      </c>
      <c r="F303" s="11" t="s">
        <v>22</v>
      </c>
      <c r="G303" s="11" t="s">
        <v>13</v>
      </c>
      <c r="H303" s="11">
        <v>3510</v>
      </c>
      <c r="I303" s="11">
        <v>2141</v>
      </c>
      <c r="K303" s="13">
        <v>43380</v>
      </c>
      <c r="L303">
        <v>2517</v>
      </c>
      <c r="AA303" s="1">
        <v>43385</v>
      </c>
      <c r="AB303">
        <v>3425</v>
      </c>
    </row>
    <row r="304" spans="1:28" x14ac:dyDescent="0.35">
      <c r="A304" s="11" t="s">
        <v>328</v>
      </c>
      <c r="B304" s="12">
        <v>43403</v>
      </c>
      <c r="C304" s="11" t="s">
        <v>32</v>
      </c>
      <c r="D304" s="11" t="s">
        <v>33</v>
      </c>
      <c r="E304" s="11" t="s">
        <v>34</v>
      </c>
      <c r="F304" s="11" t="s">
        <v>35</v>
      </c>
      <c r="G304" s="11" t="s">
        <v>36</v>
      </c>
      <c r="H304" s="11">
        <v>2134</v>
      </c>
      <c r="I304" s="11">
        <v>1536</v>
      </c>
      <c r="K304" s="13">
        <v>43381</v>
      </c>
      <c r="L304">
        <v>2598</v>
      </c>
      <c r="AA304" s="1">
        <v>43386</v>
      </c>
      <c r="AB304">
        <v>2865</v>
      </c>
    </row>
    <row r="305" spans="1:28" x14ac:dyDescent="0.35">
      <c r="A305" s="11" t="s">
        <v>329</v>
      </c>
      <c r="B305" s="12">
        <v>43404</v>
      </c>
      <c r="C305" s="11" t="s">
        <v>38</v>
      </c>
      <c r="D305" s="11" t="s">
        <v>39</v>
      </c>
      <c r="E305" s="11" t="s">
        <v>40</v>
      </c>
      <c r="F305" s="11" t="s">
        <v>41</v>
      </c>
      <c r="G305" s="11" t="s">
        <v>42</v>
      </c>
      <c r="H305" s="11">
        <v>2661</v>
      </c>
      <c r="I305" s="11">
        <v>2022</v>
      </c>
      <c r="K305" s="13">
        <v>43382</v>
      </c>
      <c r="L305">
        <v>3513</v>
      </c>
      <c r="AA305" s="1">
        <v>43387</v>
      </c>
      <c r="AB305">
        <v>2393</v>
      </c>
    </row>
    <row r="306" spans="1:28" x14ac:dyDescent="0.35">
      <c r="A306" s="11" t="s">
        <v>330</v>
      </c>
      <c r="B306" s="12">
        <v>43405</v>
      </c>
      <c r="C306" s="11" t="s">
        <v>44</v>
      </c>
      <c r="D306" s="11" t="s">
        <v>33</v>
      </c>
      <c r="E306" s="11" t="s">
        <v>45</v>
      </c>
      <c r="F306" s="11" t="s">
        <v>46</v>
      </c>
      <c r="G306" s="11" t="s">
        <v>36</v>
      </c>
      <c r="H306" s="11">
        <v>2901</v>
      </c>
      <c r="I306" s="11">
        <v>1741</v>
      </c>
      <c r="K306" s="13">
        <v>43383</v>
      </c>
      <c r="L306">
        <v>2247</v>
      </c>
      <c r="AA306" s="1">
        <v>43388</v>
      </c>
      <c r="AB306">
        <v>3149</v>
      </c>
    </row>
    <row r="307" spans="1:28" x14ac:dyDescent="0.35">
      <c r="A307" s="11" t="s">
        <v>331</v>
      </c>
      <c r="B307" s="12">
        <v>43406</v>
      </c>
      <c r="C307" s="11" t="s">
        <v>48</v>
      </c>
      <c r="D307" s="11" t="s">
        <v>49</v>
      </c>
      <c r="E307" s="11" t="s">
        <v>50</v>
      </c>
      <c r="F307" s="11" t="s">
        <v>51</v>
      </c>
      <c r="G307" s="11" t="s">
        <v>42</v>
      </c>
      <c r="H307" s="11">
        <v>3784</v>
      </c>
      <c r="I307" s="11">
        <v>2384</v>
      </c>
      <c r="K307" s="13">
        <v>43384</v>
      </c>
      <c r="L307">
        <v>2878</v>
      </c>
      <c r="AA307" s="1">
        <v>43389</v>
      </c>
      <c r="AB307">
        <v>3277</v>
      </c>
    </row>
    <row r="308" spans="1:28" x14ac:dyDescent="0.35">
      <c r="A308" s="11" t="s">
        <v>332</v>
      </c>
      <c r="B308" s="12">
        <v>43407</v>
      </c>
      <c r="C308" s="11" t="s">
        <v>53</v>
      </c>
      <c r="D308" s="11" t="s">
        <v>49</v>
      </c>
      <c r="E308" s="11" t="s">
        <v>54</v>
      </c>
      <c r="F308" s="11" t="s">
        <v>55</v>
      </c>
      <c r="G308" s="11" t="s">
        <v>42</v>
      </c>
      <c r="H308" s="11">
        <v>3135</v>
      </c>
      <c r="I308" s="11">
        <v>2445</v>
      </c>
      <c r="K308" s="13">
        <v>43385</v>
      </c>
      <c r="L308">
        <v>3425</v>
      </c>
      <c r="AA308" s="1">
        <v>43390</v>
      </c>
      <c r="AB308">
        <v>2713</v>
      </c>
    </row>
    <row r="309" spans="1:28" x14ac:dyDescent="0.35">
      <c r="A309" s="11" t="s">
        <v>333</v>
      </c>
      <c r="B309" s="12">
        <v>43408</v>
      </c>
      <c r="C309" s="11" t="s">
        <v>57</v>
      </c>
      <c r="D309" s="11" t="s">
        <v>49</v>
      </c>
      <c r="E309" s="11" t="s">
        <v>54</v>
      </c>
      <c r="F309" s="11" t="s">
        <v>55</v>
      </c>
      <c r="G309" s="11" t="s">
        <v>42</v>
      </c>
      <c r="H309" s="11">
        <v>2802</v>
      </c>
      <c r="I309" s="11">
        <v>1877</v>
      </c>
      <c r="K309" s="13">
        <v>43386</v>
      </c>
      <c r="L309">
        <v>2865</v>
      </c>
      <c r="AA309" s="1">
        <v>43391</v>
      </c>
      <c r="AB309">
        <v>3381</v>
      </c>
    </row>
    <row r="310" spans="1:28" x14ac:dyDescent="0.35">
      <c r="A310" s="11" t="s">
        <v>334</v>
      </c>
      <c r="B310" s="12">
        <v>43409</v>
      </c>
      <c r="C310" s="11" t="s">
        <v>59</v>
      </c>
      <c r="D310" s="11" t="s">
        <v>60</v>
      </c>
      <c r="E310" s="11" t="s">
        <v>61</v>
      </c>
      <c r="F310" s="11" t="s">
        <v>62</v>
      </c>
      <c r="G310" s="11" t="s">
        <v>13</v>
      </c>
      <c r="H310" s="11">
        <v>3486</v>
      </c>
      <c r="I310" s="11">
        <v>2789</v>
      </c>
      <c r="K310" s="13">
        <v>43387</v>
      </c>
      <c r="L310">
        <v>2393</v>
      </c>
      <c r="AA310" s="1">
        <v>43392</v>
      </c>
      <c r="AB310">
        <v>2545</v>
      </c>
    </row>
    <row r="311" spans="1:28" x14ac:dyDescent="0.35">
      <c r="A311" s="11" t="s">
        <v>335</v>
      </c>
      <c r="B311" s="12">
        <v>43410</v>
      </c>
      <c r="C311" s="11" t="s">
        <v>64</v>
      </c>
      <c r="D311" s="11" t="s">
        <v>20</v>
      </c>
      <c r="E311" s="11" t="s">
        <v>65</v>
      </c>
      <c r="F311" s="11" t="s">
        <v>66</v>
      </c>
      <c r="G311" s="11" t="s">
        <v>13</v>
      </c>
      <c r="H311" s="11">
        <v>3422</v>
      </c>
      <c r="I311" s="11">
        <v>2122</v>
      </c>
      <c r="K311" s="13">
        <v>43388</v>
      </c>
      <c r="L311">
        <v>3149</v>
      </c>
      <c r="AA311" s="1">
        <v>43393</v>
      </c>
      <c r="AB311">
        <v>4473</v>
      </c>
    </row>
    <row r="312" spans="1:28" x14ac:dyDescent="0.35">
      <c r="A312" s="11" t="s">
        <v>336</v>
      </c>
      <c r="B312" s="12">
        <v>43411</v>
      </c>
      <c r="C312" s="11" t="s">
        <v>68</v>
      </c>
      <c r="D312" s="11" t="s">
        <v>69</v>
      </c>
      <c r="E312" s="11" t="s">
        <v>70</v>
      </c>
      <c r="F312" s="11" t="s">
        <v>71</v>
      </c>
      <c r="G312" s="11" t="s">
        <v>13</v>
      </c>
      <c r="H312" s="11">
        <v>2842</v>
      </c>
      <c r="I312" s="11">
        <v>2188</v>
      </c>
      <c r="K312" s="13">
        <v>43389</v>
      </c>
      <c r="L312">
        <v>3277</v>
      </c>
      <c r="AA312" s="1">
        <v>43394</v>
      </c>
      <c r="AB312">
        <v>3332</v>
      </c>
    </row>
    <row r="313" spans="1:28" x14ac:dyDescent="0.35">
      <c r="A313" s="11" t="s">
        <v>337</v>
      </c>
      <c r="B313" s="12">
        <v>43412</v>
      </c>
      <c r="C313" s="11" t="s">
        <v>73</v>
      </c>
      <c r="D313" s="11" t="s">
        <v>69</v>
      </c>
      <c r="E313" s="11" t="s">
        <v>70</v>
      </c>
      <c r="F313" s="11" t="s">
        <v>71</v>
      </c>
      <c r="G313" s="11" t="s">
        <v>13</v>
      </c>
      <c r="H313" s="11">
        <v>3846</v>
      </c>
      <c r="I313" s="11">
        <v>2500</v>
      </c>
      <c r="K313" s="13">
        <v>43390</v>
      </c>
      <c r="L313">
        <v>2713</v>
      </c>
      <c r="AA313" s="1">
        <v>43395</v>
      </c>
      <c r="AB313">
        <v>2283</v>
      </c>
    </row>
    <row r="314" spans="1:28" x14ac:dyDescent="0.35">
      <c r="A314" s="11" t="s">
        <v>338</v>
      </c>
      <c r="B314" s="12">
        <v>43413</v>
      </c>
      <c r="C314" s="11" t="s">
        <v>75</v>
      </c>
      <c r="D314" s="11" t="s">
        <v>49</v>
      </c>
      <c r="E314" s="11" t="s">
        <v>50</v>
      </c>
      <c r="F314" s="11" t="s">
        <v>76</v>
      </c>
      <c r="G314" s="11" t="s">
        <v>42</v>
      </c>
      <c r="H314" s="11">
        <v>3131</v>
      </c>
      <c r="I314" s="11">
        <v>2380</v>
      </c>
      <c r="K314" s="13">
        <v>43391</v>
      </c>
      <c r="L314">
        <v>3381</v>
      </c>
      <c r="AA314" s="1">
        <v>43396</v>
      </c>
      <c r="AB314">
        <v>2696</v>
      </c>
    </row>
    <row r="315" spans="1:28" x14ac:dyDescent="0.35">
      <c r="A315" s="11" t="s">
        <v>339</v>
      </c>
      <c r="B315" s="12">
        <v>43414</v>
      </c>
      <c r="C315" s="11" t="s">
        <v>78</v>
      </c>
      <c r="D315" s="11" t="s">
        <v>49</v>
      </c>
      <c r="E315" s="11" t="s">
        <v>50</v>
      </c>
      <c r="F315" s="11" t="s">
        <v>76</v>
      </c>
      <c r="G315" s="11" t="s">
        <v>42</v>
      </c>
      <c r="H315" s="11">
        <v>3825</v>
      </c>
      <c r="I315" s="11">
        <v>2333</v>
      </c>
      <c r="K315" s="13">
        <v>43392</v>
      </c>
      <c r="L315">
        <v>2545</v>
      </c>
      <c r="AA315" s="1">
        <v>43397</v>
      </c>
      <c r="AB315">
        <v>4061</v>
      </c>
    </row>
    <row r="316" spans="1:28" x14ac:dyDescent="0.35">
      <c r="A316" s="11" t="s">
        <v>340</v>
      </c>
      <c r="B316" s="12">
        <v>43415</v>
      </c>
      <c r="C316" s="11" t="s">
        <v>80</v>
      </c>
      <c r="D316" s="11" t="s">
        <v>49</v>
      </c>
      <c r="E316" s="11" t="s">
        <v>50</v>
      </c>
      <c r="F316" s="11" t="s">
        <v>76</v>
      </c>
      <c r="G316" s="11" t="s">
        <v>42</v>
      </c>
      <c r="H316" s="11">
        <v>4362</v>
      </c>
      <c r="I316" s="11">
        <v>3446</v>
      </c>
      <c r="K316" s="13">
        <v>43393</v>
      </c>
      <c r="L316">
        <v>4473</v>
      </c>
      <c r="AA316" s="1">
        <v>43398</v>
      </c>
      <c r="AB316">
        <v>2382</v>
      </c>
    </row>
    <row r="317" spans="1:28" x14ac:dyDescent="0.35">
      <c r="A317" s="11" t="s">
        <v>341</v>
      </c>
      <c r="B317" s="12">
        <v>43416</v>
      </c>
      <c r="C317" s="11" t="s">
        <v>10</v>
      </c>
      <c r="D317" s="11" t="s">
        <v>11</v>
      </c>
      <c r="E317" s="11" t="s">
        <v>12</v>
      </c>
      <c r="F317" s="11" t="s">
        <v>12</v>
      </c>
      <c r="G317" s="11" t="s">
        <v>13</v>
      </c>
      <c r="H317" s="11">
        <v>2934</v>
      </c>
      <c r="I317" s="11">
        <v>1819</v>
      </c>
      <c r="K317" s="13">
        <v>43394</v>
      </c>
      <c r="L317">
        <v>3332</v>
      </c>
      <c r="AA317" s="1">
        <v>43399</v>
      </c>
      <c r="AB317">
        <v>4336</v>
      </c>
    </row>
    <row r="318" spans="1:28" x14ac:dyDescent="0.35">
      <c r="A318" s="11" t="s">
        <v>342</v>
      </c>
      <c r="B318" s="12">
        <v>43417</v>
      </c>
      <c r="C318" s="11" t="s">
        <v>15</v>
      </c>
      <c r="D318" s="11" t="s">
        <v>11</v>
      </c>
      <c r="E318" s="11" t="s">
        <v>12</v>
      </c>
      <c r="F318" s="11" t="s">
        <v>12</v>
      </c>
      <c r="G318" s="11" t="s">
        <v>13</v>
      </c>
      <c r="H318" s="11">
        <v>4354</v>
      </c>
      <c r="I318" s="11">
        <v>2787</v>
      </c>
      <c r="K318" s="13">
        <v>43395</v>
      </c>
      <c r="L318">
        <v>2283</v>
      </c>
      <c r="AA318" s="1">
        <v>43400</v>
      </c>
      <c r="AB318">
        <v>2602</v>
      </c>
    </row>
    <row r="319" spans="1:28" x14ac:dyDescent="0.35">
      <c r="A319" s="11" t="s">
        <v>343</v>
      </c>
      <c r="B319" s="12">
        <v>43418</v>
      </c>
      <c r="C319" s="11" t="s">
        <v>17</v>
      </c>
      <c r="D319" s="11" t="s">
        <v>11</v>
      </c>
      <c r="E319" s="11" t="s">
        <v>12</v>
      </c>
      <c r="F319" s="11" t="s">
        <v>12</v>
      </c>
      <c r="G319" s="11" t="s">
        <v>13</v>
      </c>
      <c r="H319" s="11">
        <v>2102</v>
      </c>
      <c r="I319" s="11">
        <v>1534</v>
      </c>
      <c r="K319" s="13">
        <v>43396</v>
      </c>
      <c r="L319">
        <v>2696</v>
      </c>
      <c r="AA319" s="1">
        <v>43401</v>
      </c>
      <c r="AB319">
        <v>3094</v>
      </c>
    </row>
    <row r="320" spans="1:28" x14ac:dyDescent="0.35">
      <c r="A320" s="11" t="s">
        <v>344</v>
      </c>
      <c r="B320" s="12">
        <v>43419</v>
      </c>
      <c r="C320" s="11" t="s">
        <v>19</v>
      </c>
      <c r="D320" s="11" t="s">
        <v>20</v>
      </c>
      <c r="E320" s="11" t="s">
        <v>21</v>
      </c>
      <c r="F320" s="11" t="s">
        <v>22</v>
      </c>
      <c r="G320" s="11" t="s">
        <v>13</v>
      </c>
      <c r="H320" s="11">
        <v>3261</v>
      </c>
      <c r="I320" s="11">
        <v>2446</v>
      </c>
      <c r="K320" s="13">
        <v>43397</v>
      </c>
      <c r="L320">
        <v>4061</v>
      </c>
      <c r="AA320" s="1">
        <v>43402</v>
      </c>
      <c r="AB320">
        <v>3510</v>
      </c>
    </row>
    <row r="321" spans="1:28" x14ac:dyDescent="0.35">
      <c r="A321" s="11" t="s">
        <v>345</v>
      </c>
      <c r="B321" s="12">
        <v>43420</v>
      </c>
      <c r="C321" s="11" t="s">
        <v>24</v>
      </c>
      <c r="D321" s="11" t="s">
        <v>20</v>
      </c>
      <c r="E321" s="11" t="s">
        <v>21</v>
      </c>
      <c r="F321" s="11" t="s">
        <v>22</v>
      </c>
      <c r="G321" s="11" t="s">
        <v>13</v>
      </c>
      <c r="H321" s="11">
        <v>2577</v>
      </c>
      <c r="I321" s="11">
        <v>1907</v>
      </c>
      <c r="K321" s="13">
        <v>43398</v>
      </c>
      <c r="L321">
        <v>2382</v>
      </c>
      <c r="AA321" s="1">
        <v>43403</v>
      </c>
      <c r="AB321">
        <v>2134</v>
      </c>
    </row>
    <row r="322" spans="1:28" x14ac:dyDescent="0.35">
      <c r="A322" s="11" t="s">
        <v>346</v>
      </c>
      <c r="B322" s="12">
        <v>43421</v>
      </c>
      <c r="C322" s="11" t="s">
        <v>26</v>
      </c>
      <c r="D322" s="11" t="s">
        <v>20</v>
      </c>
      <c r="E322" s="11" t="s">
        <v>21</v>
      </c>
      <c r="F322" s="11" t="s">
        <v>22</v>
      </c>
      <c r="G322" s="11" t="s">
        <v>13</v>
      </c>
      <c r="H322" s="11">
        <v>3131</v>
      </c>
      <c r="I322" s="11">
        <v>1973</v>
      </c>
      <c r="K322" s="13">
        <v>43399</v>
      </c>
      <c r="L322">
        <v>4336</v>
      </c>
      <c r="AA322" s="1">
        <v>43404</v>
      </c>
      <c r="AB322">
        <v>2661</v>
      </c>
    </row>
    <row r="323" spans="1:28" x14ac:dyDescent="0.35">
      <c r="A323" s="11" t="s">
        <v>347</v>
      </c>
      <c r="B323" s="12">
        <v>43422</v>
      </c>
      <c r="C323" s="11" t="s">
        <v>28</v>
      </c>
      <c r="D323" s="11" t="s">
        <v>20</v>
      </c>
      <c r="E323" s="11" t="s">
        <v>21</v>
      </c>
      <c r="F323" s="11" t="s">
        <v>22</v>
      </c>
      <c r="G323" s="11" t="s">
        <v>13</v>
      </c>
      <c r="H323" s="11">
        <v>2683</v>
      </c>
      <c r="I323" s="11">
        <v>1798</v>
      </c>
      <c r="K323" s="13">
        <v>43400</v>
      </c>
      <c r="L323">
        <v>2602</v>
      </c>
      <c r="Z323" t="s">
        <v>420</v>
      </c>
      <c r="AB323">
        <v>96468</v>
      </c>
    </row>
    <row r="324" spans="1:28" x14ac:dyDescent="0.35">
      <c r="A324" s="11" t="s">
        <v>348</v>
      </c>
      <c r="B324" s="12">
        <v>43423</v>
      </c>
      <c r="C324" s="11" t="s">
        <v>30</v>
      </c>
      <c r="D324" s="11" t="s">
        <v>20</v>
      </c>
      <c r="E324" s="11" t="s">
        <v>21</v>
      </c>
      <c r="F324" s="11" t="s">
        <v>22</v>
      </c>
      <c r="G324" s="11" t="s">
        <v>13</v>
      </c>
      <c r="H324" s="11">
        <v>2613</v>
      </c>
      <c r="I324" s="11">
        <v>1751</v>
      </c>
      <c r="K324" s="13">
        <v>43401</v>
      </c>
      <c r="L324">
        <v>3094</v>
      </c>
      <c r="Z324" t="s">
        <v>401</v>
      </c>
      <c r="AA324" s="1">
        <v>43405</v>
      </c>
      <c r="AB324">
        <v>2901</v>
      </c>
    </row>
    <row r="325" spans="1:28" x14ac:dyDescent="0.35">
      <c r="A325" s="11" t="s">
        <v>349</v>
      </c>
      <c r="B325" s="12">
        <v>43424</v>
      </c>
      <c r="C325" s="11" t="s">
        <v>32</v>
      </c>
      <c r="D325" s="11" t="s">
        <v>33</v>
      </c>
      <c r="E325" s="11" t="s">
        <v>34</v>
      </c>
      <c r="F325" s="11" t="s">
        <v>35</v>
      </c>
      <c r="G325" s="11" t="s">
        <v>36</v>
      </c>
      <c r="H325" s="11">
        <v>4076</v>
      </c>
      <c r="I325" s="11">
        <v>2609</v>
      </c>
      <c r="K325" s="13">
        <v>43402</v>
      </c>
      <c r="L325">
        <v>3510</v>
      </c>
      <c r="AA325" s="1">
        <v>43406</v>
      </c>
      <c r="AB325">
        <v>3784</v>
      </c>
    </row>
    <row r="326" spans="1:28" x14ac:dyDescent="0.35">
      <c r="A326" s="11" t="s">
        <v>350</v>
      </c>
      <c r="B326" s="12">
        <v>43425</v>
      </c>
      <c r="C326" s="11" t="s">
        <v>38</v>
      </c>
      <c r="D326" s="11" t="s">
        <v>39</v>
      </c>
      <c r="E326" s="11" t="s">
        <v>40</v>
      </c>
      <c r="F326" s="11" t="s">
        <v>41</v>
      </c>
      <c r="G326" s="11" t="s">
        <v>42</v>
      </c>
      <c r="H326" s="11">
        <v>4400</v>
      </c>
      <c r="I326" s="11">
        <v>3432</v>
      </c>
      <c r="K326" s="13">
        <v>43403</v>
      </c>
      <c r="L326">
        <v>2134</v>
      </c>
      <c r="AA326" s="1">
        <v>43407</v>
      </c>
      <c r="AB326">
        <v>3135</v>
      </c>
    </row>
    <row r="327" spans="1:28" x14ac:dyDescent="0.35">
      <c r="A327" s="11" t="s">
        <v>351</v>
      </c>
      <c r="B327" s="12">
        <v>43426</v>
      </c>
      <c r="C327" s="11" t="s">
        <v>44</v>
      </c>
      <c r="D327" s="11" t="s">
        <v>33</v>
      </c>
      <c r="E327" s="11" t="s">
        <v>45</v>
      </c>
      <c r="F327" s="11" t="s">
        <v>46</v>
      </c>
      <c r="G327" s="11" t="s">
        <v>36</v>
      </c>
      <c r="H327" s="11">
        <v>2466</v>
      </c>
      <c r="I327" s="11">
        <v>1603</v>
      </c>
      <c r="K327" s="13">
        <v>43404</v>
      </c>
      <c r="L327">
        <v>2661</v>
      </c>
      <c r="AA327" s="1">
        <v>43408</v>
      </c>
      <c r="AB327">
        <v>2802</v>
      </c>
    </row>
    <row r="328" spans="1:28" x14ac:dyDescent="0.35">
      <c r="A328" s="11" t="s">
        <v>352</v>
      </c>
      <c r="B328" s="12">
        <v>43427</v>
      </c>
      <c r="C328" s="11" t="s">
        <v>48</v>
      </c>
      <c r="D328" s="11" t="s">
        <v>49</v>
      </c>
      <c r="E328" s="11" t="s">
        <v>50</v>
      </c>
      <c r="F328" s="11" t="s">
        <v>51</v>
      </c>
      <c r="G328" s="11" t="s">
        <v>42</v>
      </c>
      <c r="H328" s="11">
        <v>2137</v>
      </c>
      <c r="I328" s="11">
        <v>1325</v>
      </c>
      <c r="K328" s="8" t="s">
        <v>401</v>
      </c>
      <c r="L328">
        <v>96989</v>
      </c>
      <c r="AA328" s="1">
        <v>43409</v>
      </c>
      <c r="AB328">
        <v>3486</v>
      </c>
    </row>
    <row r="329" spans="1:28" x14ac:dyDescent="0.35">
      <c r="A329" s="11" t="s">
        <v>353</v>
      </c>
      <c r="B329" s="12">
        <v>43428</v>
      </c>
      <c r="C329" s="11" t="s">
        <v>53</v>
      </c>
      <c r="D329" s="11" t="s">
        <v>49</v>
      </c>
      <c r="E329" s="11" t="s">
        <v>54</v>
      </c>
      <c r="F329" s="11" t="s">
        <v>55</v>
      </c>
      <c r="G329" s="11" t="s">
        <v>42</v>
      </c>
      <c r="H329" s="11">
        <v>4216</v>
      </c>
      <c r="I329" s="11">
        <v>3162</v>
      </c>
      <c r="K329" s="13">
        <v>43405</v>
      </c>
      <c r="L329">
        <v>2901</v>
      </c>
      <c r="AA329" s="1">
        <v>43410</v>
      </c>
      <c r="AB329">
        <v>3422</v>
      </c>
    </row>
    <row r="330" spans="1:28" x14ac:dyDescent="0.35">
      <c r="A330" s="11" t="s">
        <v>354</v>
      </c>
      <c r="B330" s="12">
        <v>43429</v>
      </c>
      <c r="C330" s="11" t="s">
        <v>57</v>
      </c>
      <c r="D330" s="11" t="s">
        <v>49</v>
      </c>
      <c r="E330" s="11" t="s">
        <v>54</v>
      </c>
      <c r="F330" s="11" t="s">
        <v>55</v>
      </c>
      <c r="G330" s="11" t="s">
        <v>42</v>
      </c>
      <c r="H330" s="11">
        <v>3165</v>
      </c>
      <c r="I330" s="11">
        <v>2310</v>
      </c>
      <c r="K330" s="13">
        <v>43406</v>
      </c>
      <c r="L330">
        <v>3784</v>
      </c>
      <c r="AA330" s="1">
        <v>43411</v>
      </c>
      <c r="AB330">
        <v>2842</v>
      </c>
    </row>
    <row r="331" spans="1:28" x14ac:dyDescent="0.35">
      <c r="A331" s="11" t="s">
        <v>355</v>
      </c>
      <c r="B331" s="12">
        <v>43430</v>
      </c>
      <c r="C331" s="11" t="s">
        <v>59</v>
      </c>
      <c r="D331" s="11" t="s">
        <v>60</v>
      </c>
      <c r="E331" s="11" t="s">
        <v>61</v>
      </c>
      <c r="F331" s="11" t="s">
        <v>62</v>
      </c>
      <c r="G331" s="11" t="s">
        <v>13</v>
      </c>
      <c r="H331" s="11">
        <v>3263</v>
      </c>
      <c r="I331" s="11">
        <v>2545</v>
      </c>
      <c r="K331" s="13">
        <v>43407</v>
      </c>
      <c r="L331">
        <v>3135</v>
      </c>
      <c r="AA331" s="1">
        <v>43412</v>
      </c>
      <c r="AB331">
        <v>3846</v>
      </c>
    </row>
    <row r="332" spans="1:28" x14ac:dyDescent="0.35">
      <c r="A332" s="11" t="s">
        <v>356</v>
      </c>
      <c r="B332" s="12">
        <v>43431</v>
      </c>
      <c r="C332" s="11" t="s">
        <v>64</v>
      </c>
      <c r="D332" s="11" t="s">
        <v>20</v>
      </c>
      <c r="E332" s="11" t="s">
        <v>65</v>
      </c>
      <c r="F332" s="11" t="s">
        <v>66</v>
      </c>
      <c r="G332" s="11" t="s">
        <v>13</v>
      </c>
      <c r="H332" s="11">
        <v>2946</v>
      </c>
      <c r="I332" s="11">
        <v>2210</v>
      </c>
      <c r="K332" s="13">
        <v>43408</v>
      </c>
      <c r="L332">
        <v>2802</v>
      </c>
      <c r="AA332" s="1">
        <v>43413</v>
      </c>
      <c r="AB332">
        <v>3131</v>
      </c>
    </row>
    <row r="333" spans="1:28" x14ac:dyDescent="0.35">
      <c r="A333" s="11" t="s">
        <v>357</v>
      </c>
      <c r="B333" s="12">
        <v>43432</v>
      </c>
      <c r="C333" s="11" t="s">
        <v>68</v>
      </c>
      <c r="D333" s="11" t="s">
        <v>69</v>
      </c>
      <c r="E333" s="11" t="s">
        <v>70</v>
      </c>
      <c r="F333" s="11" t="s">
        <v>71</v>
      </c>
      <c r="G333" s="11" t="s">
        <v>13</v>
      </c>
      <c r="H333" s="11">
        <v>2989</v>
      </c>
      <c r="I333" s="11">
        <v>2212</v>
      </c>
      <c r="K333" s="13">
        <v>43409</v>
      </c>
      <c r="L333">
        <v>3486</v>
      </c>
      <c r="AA333" s="1">
        <v>43414</v>
      </c>
      <c r="AB333">
        <v>3825</v>
      </c>
    </row>
    <row r="334" spans="1:28" x14ac:dyDescent="0.35">
      <c r="A334" s="11" t="s">
        <v>358</v>
      </c>
      <c r="B334" s="12">
        <v>43433</v>
      </c>
      <c r="C334" s="11" t="s">
        <v>73</v>
      </c>
      <c r="D334" s="11" t="s">
        <v>69</v>
      </c>
      <c r="E334" s="11" t="s">
        <v>70</v>
      </c>
      <c r="F334" s="11" t="s">
        <v>71</v>
      </c>
      <c r="G334" s="11" t="s">
        <v>13</v>
      </c>
      <c r="H334" s="11">
        <v>3463</v>
      </c>
      <c r="I334" s="11">
        <v>2770</v>
      </c>
      <c r="K334" s="13">
        <v>43410</v>
      </c>
      <c r="L334">
        <v>3422</v>
      </c>
      <c r="AA334" s="1">
        <v>43415</v>
      </c>
      <c r="AB334">
        <v>4362</v>
      </c>
    </row>
    <row r="335" spans="1:28" x14ac:dyDescent="0.35">
      <c r="A335" s="11" t="s">
        <v>359</v>
      </c>
      <c r="B335" s="12">
        <v>43434</v>
      </c>
      <c r="C335" s="11" t="s">
        <v>75</v>
      </c>
      <c r="D335" s="11" t="s">
        <v>49</v>
      </c>
      <c r="E335" s="11" t="s">
        <v>50</v>
      </c>
      <c r="F335" s="11" t="s">
        <v>76</v>
      </c>
      <c r="G335" s="11" t="s">
        <v>42</v>
      </c>
      <c r="H335" s="11">
        <v>2677</v>
      </c>
      <c r="I335" s="11">
        <v>2088</v>
      </c>
      <c r="K335" s="13">
        <v>43411</v>
      </c>
      <c r="L335">
        <v>2842</v>
      </c>
      <c r="AA335" s="1">
        <v>43416</v>
      </c>
      <c r="AB335">
        <v>2934</v>
      </c>
    </row>
    <row r="336" spans="1:28" x14ac:dyDescent="0.35">
      <c r="A336" s="11" t="s">
        <v>360</v>
      </c>
      <c r="B336" s="12">
        <v>43435</v>
      </c>
      <c r="C336" s="11" t="s">
        <v>78</v>
      </c>
      <c r="D336" s="11" t="s">
        <v>49</v>
      </c>
      <c r="E336" s="11" t="s">
        <v>50</v>
      </c>
      <c r="F336" s="11" t="s">
        <v>76</v>
      </c>
      <c r="G336" s="11" t="s">
        <v>42</v>
      </c>
      <c r="H336" s="11">
        <v>2966</v>
      </c>
      <c r="I336" s="11">
        <v>1928</v>
      </c>
      <c r="K336" s="13">
        <v>43412</v>
      </c>
      <c r="L336">
        <v>3846</v>
      </c>
      <c r="AA336" s="1">
        <v>43417</v>
      </c>
      <c r="AB336">
        <v>4354</v>
      </c>
    </row>
    <row r="337" spans="1:28" x14ac:dyDescent="0.35">
      <c r="A337" s="11" t="s">
        <v>361</v>
      </c>
      <c r="B337" s="12">
        <v>43436</v>
      </c>
      <c r="C337" s="11" t="s">
        <v>80</v>
      </c>
      <c r="D337" s="11" t="s">
        <v>49</v>
      </c>
      <c r="E337" s="11" t="s">
        <v>50</v>
      </c>
      <c r="F337" s="11" t="s">
        <v>76</v>
      </c>
      <c r="G337" s="11" t="s">
        <v>42</v>
      </c>
      <c r="H337" s="11">
        <v>2106</v>
      </c>
      <c r="I337" s="11">
        <v>1516</v>
      </c>
      <c r="K337" s="13">
        <v>43413</v>
      </c>
      <c r="L337">
        <v>3131</v>
      </c>
      <c r="AA337" s="1">
        <v>43418</v>
      </c>
      <c r="AB337">
        <v>2102</v>
      </c>
    </row>
    <row r="338" spans="1:28" x14ac:dyDescent="0.35">
      <c r="A338" s="11" t="s">
        <v>362</v>
      </c>
      <c r="B338" s="12">
        <v>43437</v>
      </c>
      <c r="C338" s="11" t="s">
        <v>10</v>
      </c>
      <c r="D338" s="11" t="s">
        <v>11</v>
      </c>
      <c r="E338" s="11" t="s">
        <v>12</v>
      </c>
      <c r="F338" s="11" t="s">
        <v>12</v>
      </c>
      <c r="G338" s="11" t="s">
        <v>13</v>
      </c>
      <c r="H338" s="11">
        <v>3664</v>
      </c>
      <c r="I338" s="11">
        <v>2272</v>
      </c>
      <c r="K338" s="13">
        <v>43414</v>
      </c>
      <c r="L338">
        <v>3825</v>
      </c>
      <c r="AA338" s="1">
        <v>43419</v>
      </c>
      <c r="AB338">
        <v>3261</v>
      </c>
    </row>
    <row r="339" spans="1:28" x14ac:dyDescent="0.35">
      <c r="A339" s="11" t="s">
        <v>363</v>
      </c>
      <c r="B339" s="12">
        <v>43438</v>
      </c>
      <c r="C339" s="11" t="s">
        <v>15</v>
      </c>
      <c r="D339" s="11" t="s">
        <v>11</v>
      </c>
      <c r="E339" s="11" t="s">
        <v>12</v>
      </c>
      <c r="F339" s="11" t="s">
        <v>12</v>
      </c>
      <c r="G339" s="11" t="s">
        <v>13</v>
      </c>
      <c r="H339" s="11">
        <v>3069</v>
      </c>
      <c r="I339" s="11">
        <v>2240</v>
      </c>
      <c r="K339" s="13">
        <v>43415</v>
      </c>
      <c r="L339">
        <v>4362</v>
      </c>
      <c r="AA339" s="1">
        <v>43420</v>
      </c>
      <c r="AB339">
        <v>2577</v>
      </c>
    </row>
    <row r="340" spans="1:28" x14ac:dyDescent="0.35">
      <c r="A340" s="11" t="s">
        <v>364</v>
      </c>
      <c r="B340" s="12">
        <v>43439</v>
      </c>
      <c r="C340" s="11" t="s">
        <v>17</v>
      </c>
      <c r="D340" s="11" t="s">
        <v>11</v>
      </c>
      <c r="E340" s="11" t="s">
        <v>12</v>
      </c>
      <c r="F340" s="11" t="s">
        <v>12</v>
      </c>
      <c r="G340" s="11" t="s">
        <v>13</v>
      </c>
      <c r="H340" s="11">
        <v>3755</v>
      </c>
      <c r="I340" s="11">
        <v>2516</v>
      </c>
      <c r="K340" s="13">
        <v>43416</v>
      </c>
      <c r="L340">
        <v>2934</v>
      </c>
      <c r="AA340" s="1">
        <v>43421</v>
      </c>
      <c r="AB340">
        <v>3131</v>
      </c>
    </row>
    <row r="341" spans="1:28" x14ac:dyDescent="0.35">
      <c r="A341" s="11" t="s">
        <v>365</v>
      </c>
      <c r="B341" s="12">
        <v>43440</v>
      </c>
      <c r="C341" s="11" t="s">
        <v>19</v>
      </c>
      <c r="D341" s="11" t="s">
        <v>20</v>
      </c>
      <c r="E341" s="11" t="s">
        <v>21</v>
      </c>
      <c r="F341" s="11" t="s">
        <v>22</v>
      </c>
      <c r="G341" s="11" t="s">
        <v>13</v>
      </c>
      <c r="H341" s="11">
        <v>3215</v>
      </c>
      <c r="I341" s="11">
        <v>2058</v>
      </c>
      <c r="K341" s="13">
        <v>43417</v>
      </c>
      <c r="L341">
        <v>4354</v>
      </c>
      <c r="AA341" s="1">
        <v>43422</v>
      </c>
      <c r="AB341">
        <v>2683</v>
      </c>
    </row>
    <row r="342" spans="1:28" x14ac:dyDescent="0.35">
      <c r="A342" s="11" t="s">
        <v>366</v>
      </c>
      <c r="B342" s="12">
        <v>43441</v>
      </c>
      <c r="C342" s="11" t="s">
        <v>24</v>
      </c>
      <c r="D342" s="11" t="s">
        <v>20</v>
      </c>
      <c r="E342" s="11" t="s">
        <v>21</v>
      </c>
      <c r="F342" s="11" t="s">
        <v>22</v>
      </c>
      <c r="G342" s="11" t="s">
        <v>13</v>
      </c>
      <c r="H342" s="11">
        <v>3685</v>
      </c>
      <c r="I342" s="11">
        <v>2543</v>
      </c>
      <c r="K342" s="13">
        <v>43418</v>
      </c>
      <c r="L342">
        <v>2102</v>
      </c>
      <c r="AA342" s="1">
        <v>43423</v>
      </c>
      <c r="AB342">
        <v>2613</v>
      </c>
    </row>
    <row r="343" spans="1:28" x14ac:dyDescent="0.35">
      <c r="A343" s="11" t="s">
        <v>367</v>
      </c>
      <c r="B343" s="12">
        <v>43442</v>
      </c>
      <c r="C343" s="11" t="s">
        <v>26</v>
      </c>
      <c r="D343" s="11" t="s">
        <v>20</v>
      </c>
      <c r="E343" s="11" t="s">
        <v>21</v>
      </c>
      <c r="F343" s="11" t="s">
        <v>22</v>
      </c>
      <c r="G343" s="11" t="s">
        <v>13</v>
      </c>
      <c r="H343" s="11">
        <v>4015</v>
      </c>
      <c r="I343" s="11">
        <v>2730</v>
      </c>
      <c r="K343" s="13">
        <v>43419</v>
      </c>
      <c r="L343">
        <v>3261</v>
      </c>
      <c r="AA343" s="1">
        <v>43424</v>
      </c>
      <c r="AB343">
        <v>4076</v>
      </c>
    </row>
    <row r="344" spans="1:28" x14ac:dyDescent="0.35">
      <c r="A344" s="11" t="s">
        <v>368</v>
      </c>
      <c r="B344" s="12">
        <v>43443</v>
      </c>
      <c r="C344" s="11" t="s">
        <v>28</v>
      </c>
      <c r="D344" s="11" t="s">
        <v>20</v>
      </c>
      <c r="E344" s="11" t="s">
        <v>21</v>
      </c>
      <c r="F344" s="11" t="s">
        <v>22</v>
      </c>
      <c r="G344" s="11" t="s">
        <v>13</v>
      </c>
      <c r="H344" s="11">
        <v>2517</v>
      </c>
      <c r="I344" s="11">
        <v>1661</v>
      </c>
      <c r="K344" s="13">
        <v>43420</v>
      </c>
      <c r="L344">
        <v>2577</v>
      </c>
      <c r="AA344" s="1">
        <v>43425</v>
      </c>
      <c r="AB344">
        <v>4400</v>
      </c>
    </row>
    <row r="345" spans="1:28" x14ac:dyDescent="0.35">
      <c r="A345" s="11" t="s">
        <v>369</v>
      </c>
      <c r="B345" s="12">
        <v>43444</v>
      </c>
      <c r="C345" s="11" t="s">
        <v>30</v>
      </c>
      <c r="D345" s="11" t="s">
        <v>20</v>
      </c>
      <c r="E345" s="11" t="s">
        <v>21</v>
      </c>
      <c r="F345" s="11" t="s">
        <v>22</v>
      </c>
      <c r="G345" s="11" t="s">
        <v>13</v>
      </c>
      <c r="H345" s="11">
        <v>2598</v>
      </c>
      <c r="I345" s="11">
        <v>1793</v>
      </c>
      <c r="K345" s="13">
        <v>43421</v>
      </c>
      <c r="L345">
        <v>3131</v>
      </c>
      <c r="AA345" s="1">
        <v>43426</v>
      </c>
      <c r="AB345">
        <v>2466</v>
      </c>
    </row>
    <row r="346" spans="1:28" x14ac:dyDescent="0.35">
      <c r="A346" s="11" t="s">
        <v>370</v>
      </c>
      <c r="B346" s="12">
        <v>43445</v>
      </c>
      <c r="C346" s="11" t="s">
        <v>32</v>
      </c>
      <c r="D346" s="11" t="s">
        <v>33</v>
      </c>
      <c r="E346" s="11" t="s">
        <v>34</v>
      </c>
      <c r="F346" s="11" t="s">
        <v>35</v>
      </c>
      <c r="G346" s="11" t="s">
        <v>36</v>
      </c>
      <c r="H346" s="11">
        <v>3513</v>
      </c>
      <c r="I346" s="11">
        <v>2740</v>
      </c>
      <c r="K346" s="13">
        <v>43422</v>
      </c>
      <c r="L346">
        <v>2683</v>
      </c>
      <c r="AA346" s="1">
        <v>43427</v>
      </c>
      <c r="AB346">
        <v>2137</v>
      </c>
    </row>
    <row r="347" spans="1:28" x14ac:dyDescent="0.35">
      <c r="A347" s="11" t="s">
        <v>371</v>
      </c>
      <c r="B347" s="12">
        <v>43446</v>
      </c>
      <c r="C347" s="11" t="s">
        <v>38</v>
      </c>
      <c r="D347" s="11" t="s">
        <v>39</v>
      </c>
      <c r="E347" s="11" t="s">
        <v>40</v>
      </c>
      <c r="F347" s="11" t="s">
        <v>41</v>
      </c>
      <c r="G347" s="11" t="s">
        <v>42</v>
      </c>
      <c r="H347" s="11">
        <v>2247</v>
      </c>
      <c r="I347" s="11">
        <v>1775</v>
      </c>
      <c r="K347" s="13">
        <v>43423</v>
      </c>
      <c r="L347">
        <v>2613</v>
      </c>
      <c r="AA347" s="1">
        <v>43428</v>
      </c>
      <c r="AB347">
        <v>4216</v>
      </c>
    </row>
    <row r="348" spans="1:28" x14ac:dyDescent="0.35">
      <c r="A348" s="11" t="s">
        <v>372</v>
      </c>
      <c r="B348" s="12">
        <v>43447</v>
      </c>
      <c r="C348" s="11" t="s">
        <v>44</v>
      </c>
      <c r="D348" s="11" t="s">
        <v>33</v>
      </c>
      <c r="E348" s="11" t="s">
        <v>45</v>
      </c>
      <c r="F348" s="11" t="s">
        <v>46</v>
      </c>
      <c r="G348" s="11" t="s">
        <v>36</v>
      </c>
      <c r="H348" s="11">
        <v>2878</v>
      </c>
      <c r="I348" s="11">
        <v>1784</v>
      </c>
      <c r="K348" s="13">
        <v>43424</v>
      </c>
      <c r="L348">
        <v>4076</v>
      </c>
      <c r="AA348" s="1">
        <v>43429</v>
      </c>
      <c r="AB348">
        <v>3165</v>
      </c>
    </row>
    <row r="349" spans="1:28" x14ac:dyDescent="0.35">
      <c r="A349" s="11" t="s">
        <v>373</v>
      </c>
      <c r="B349" s="12">
        <v>43448</v>
      </c>
      <c r="C349" s="11" t="s">
        <v>48</v>
      </c>
      <c r="D349" s="11" t="s">
        <v>49</v>
      </c>
      <c r="E349" s="11" t="s">
        <v>50</v>
      </c>
      <c r="F349" s="11" t="s">
        <v>51</v>
      </c>
      <c r="G349" s="11" t="s">
        <v>42</v>
      </c>
      <c r="H349" s="11">
        <v>3425</v>
      </c>
      <c r="I349" s="11">
        <v>2706</v>
      </c>
      <c r="K349" s="13">
        <v>43425</v>
      </c>
      <c r="L349">
        <v>4400</v>
      </c>
      <c r="AA349" s="1">
        <v>43430</v>
      </c>
      <c r="AB349">
        <v>3263</v>
      </c>
    </row>
    <row r="350" spans="1:28" x14ac:dyDescent="0.35">
      <c r="A350" s="11" t="s">
        <v>374</v>
      </c>
      <c r="B350" s="12">
        <v>43449</v>
      </c>
      <c r="C350" s="11" t="s">
        <v>53</v>
      </c>
      <c r="D350" s="11" t="s">
        <v>49</v>
      </c>
      <c r="E350" s="11" t="s">
        <v>54</v>
      </c>
      <c r="F350" s="11" t="s">
        <v>55</v>
      </c>
      <c r="G350" s="11" t="s">
        <v>42</v>
      </c>
      <c r="H350" s="11">
        <v>2865</v>
      </c>
      <c r="I350" s="11">
        <v>2091</v>
      </c>
      <c r="K350" s="13">
        <v>43426</v>
      </c>
      <c r="L350">
        <v>2466</v>
      </c>
      <c r="AA350" s="1">
        <v>43431</v>
      </c>
      <c r="AB350">
        <v>2946</v>
      </c>
    </row>
    <row r="351" spans="1:28" x14ac:dyDescent="0.35">
      <c r="A351" s="11" t="s">
        <v>375</v>
      </c>
      <c r="B351" s="12">
        <v>43450</v>
      </c>
      <c r="C351" s="11" t="s">
        <v>57</v>
      </c>
      <c r="D351" s="11" t="s">
        <v>49</v>
      </c>
      <c r="E351" s="11" t="s">
        <v>54</v>
      </c>
      <c r="F351" s="11" t="s">
        <v>55</v>
      </c>
      <c r="G351" s="11" t="s">
        <v>42</v>
      </c>
      <c r="H351" s="11">
        <v>2393</v>
      </c>
      <c r="I351" s="11">
        <v>1723</v>
      </c>
      <c r="K351" s="13">
        <v>43427</v>
      </c>
      <c r="L351">
        <v>2137</v>
      </c>
      <c r="AA351" s="1">
        <v>43432</v>
      </c>
      <c r="AB351">
        <v>2989</v>
      </c>
    </row>
    <row r="352" spans="1:28" x14ac:dyDescent="0.35">
      <c r="A352" s="11" t="s">
        <v>376</v>
      </c>
      <c r="B352" s="12">
        <v>43451</v>
      </c>
      <c r="C352" s="11" t="s">
        <v>59</v>
      </c>
      <c r="D352" s="11" t="s">
        <v>60</v>
      </c>
      <c r="E352" s="11" t="s">
        <v>61</v>
      </c>
      <c r="F352" s="11" t="s">
        <v>62</v>
      </c>
      <c r="G352" s="11" t="s">
        <v>13</v>
      </c>
      <c r="H352" s="11">
        <v>3149</v>
      </c>
      <c r="I352" s="11">
        <v>2299</v>
      </c>
      <c r="K352" s="13">
        <v>43428</v>
      </c>
      <c r="L352">
        <v>4216</v>
      </c>
      <c r="AA352" s="1">
        <v>43433</v>
      </c>
      <c r="AB352">
        <v>3463</v>
      </c>
    </row>
    <row r="353" spans="1:28" x14ac:dyDescent="0.35">
      <c r="A353" s="11" t="s">
        <v>377</v>
      </c>
      <c r="B353" s="12">
        <v>43452</v>
      </c>
      <c r="C353" s="11" t="s">
        <v>64</v>
      </c>
      <c r="D353" s="11" t="s">
        <v>20</v>
      </c>
      <c r="E353" s="11" t="s">
        <v>65</v>
      </c>
      <c r="F353" s="11" t="s">
        <v>66</v>
      </c>
      <c r="G353" s="11" t="s">
        <v>13</v>
      </c>
      <c r="H353" s="11">
        <v>3277</v>
      </c>
      <c r="I353" s="11">
        <v>2130</v>
      </c>
      <c r="K353" s="13">
        <v>43429</v>
      </c>
      <c r="L353">
        <v>3165</v>
      </c>
      <c r="AA353" s="1">
        <v>43434</v>
      </c>
      <c r="AB353">
        <v>2677</v>
      </c>
    </row>
    <row r="354" spans="1:28" x14ac:dyDescent="0.35">
      <c r="A354" s="11" t="s">
        <v>378</v>
      </c>
      <c r="B354" s="12">
        <v>43453</v>
      </c>
      <c r="C354" s="11" t="s">
        <v>68</v>
      </c>
      <c r="D354" s="11" t="s">
        <v>69</v>
      </c>
      <c r="E354" s="11" t="s">
        <v>70</v>
      </c>
      <c r="F354" s="11" t="s">
        <v>71</v>
      </c>
      <c r="G354" s="11" t="s">
        <v>13</v>
      </c>
      <c r="H354" s="11">
        <v>2713</v>
      </c>
      <c r="I354" s="11">
        <v>1682</v>
      </c>
      <c r="K354" s="13">
        <v>43430</v>
      </c>
      <c r="L354">
        <v>3263</v>
      </c>
      <c r="Z354" t="s">
        <v>421</v>
      </c>
      <c r="AB354">
        <v>96989</v>
      </c>
    </row>
    <row r="355" spans="1:28" x14ac:dyDescent="0.35">
      <c r="A355" s="11" t="s">
        <v>379</v>
      </c>
      <c r="B355" s="12">
        <v>43454</v>
      </c>
      <c r="C355" s="11" t="s">
        <v>73</v>
      </c>
      <c r="D355" s="11" t="s">
        <v>69</v>
      </c>
      <c r="E355" s="11" t="s">
        <v>70</v>
      </c>
      <c r="F355" s="11" t="s">
        <v>71</v>
      </c>
      <c r="G355" s="11" t="s">
        <v>13</v>
      </c>
      <c r="H355" s="11">
        <v>3381</v>
      </c>
      <c r="I355" s="11">
        <v>2231</v>
      </c>
      <c r="K355" s="13">
        <v>43431</v>
      </c>
      <c r="L355">
        <v>2946</v>
      </c>
      <c r="Z355" t="s">
        <v>402</v>
      </c>
      <c r="AA355" s="1">
        <v>43435</v>
      </c>
      <c r="AB355">
        <v>2966</v>
      </c>
    </row>
    <row r="356" spans="1:28" x14ac:dyDescent="0.35">
      <c r="A356" s="11" t="s">
        <v>380</v>
      </c>
      <c r="B356" s="12">
        <v>43455</v>
      </c>
      <c r="C356" s="11" t="s">
        <v>75</v>
      </c>
      <c r="D356" s="11" t="s">
        <v>49</v>
      </c>
      <c r="E356" s="11" t="s">
        <v>50</v>
      </c>
      <c r="F356" s="11" t="s">
        <v>76</v>
      </c>
      <c r="G356" s="11" t="s">
        <v>42</v>
      </c>
      <c r="H356" s="11">
        <v>2545</v>
      </c>
      <c r="I356" s="11">
        <v>2011</v>
      </c>
      <c r="K356" s="13">
        <v>43432</v>
      </c>
      <c r="L356">
        <v>2989</v>
      </c>
      <c r="AA356" s="1">
        <v>43436</v>
      </c>
      <c r="AB356">
        <v>2106</v>
      </c>
    </row>
    <row r="357" spans="1:28" x14ac:dyDescent="0.35">
      <c r="A357" s="11" t="s">
        <v>381</v>
      </c>
      <c r="B357" s="12">
        <v>43456</v>
      </c>
      <c r="C357" s="11" t="s">
        <v>78</v>
      </c>
      <c r="D357" s="11" t="s">
        <v>49</v>
      </c>
      <c r="E357" s="11" t="s">
        <v>50</v>
      </c>
      <c r="F357" s="11" t="s">
        <v>76</v>
      </c>
      <c r="G357" s="11" t="s">
        <v>42</v>
      </c>
      <c r="H357" s="11">
        <v>4473</v>
      </c>
      <c r="I357" s="11">
        <v>2729</v>
      </c>
      <c r="K357" s="13">
        <v>43433</v>
      </c>
      <c r="L357">
        <v>3463</v>
      </c>
      <c r="AA357" s="1">
        <v>43437</v>
      </c>
      <c r="AB357">
        <v>3664</v>
      </c>
    </row>
    <row r="358" spans="1:28" x14ac:dyDescent="0.35">
      <c r="A358" s="11" t="s">
        <v>382</v>
      </c>
      <c r="B358" s="12">
        <v>43457</v>
      </c>
      <c r="C358" s="11" t="s">
        <v>80</v>
      </c>
      <c r="D358" s="11" t="s">
        <v>49</v>
      </c>
      <c r="E358" s="11" t="s">
        <v>50</v>
      </c>
      <c r="F358" s="11" t="s">
        <v>76</v>
      </c>
      <c r="G358" s="11" t="s">
        <v>42</v>
      </c>
      <c r="H358" s="11">
        <v>3332</v>
      </c>
      <c r="I358" s="11">
        <v>2132</v>
      </c>
      <c r="K358" s="13">
        <v>43434</v>
      </c>
      <c r="L358">
        <v>2677</v>
      </c>
      <c r="AA358" s="1">
        <v>43438</v>
      </c>
      <c r="AB358">
        <v>3069</v>
      </c>
    </row>
    <row r="359" spans="1:28" x14ac:dyDescent="0.35">
      <c r="A359" s="11" t="s">
        <v>383</v>
      </c>
      <c r="B359" s="12">
        <v>43458</v>
      </c>
      <c r="C359" s="11" t="s">
        <v>10</v>
      </c>
      <c r="D359" s="11" t="s">
        <v>11</v>
      </c>
      <c r="E359" s="11" t="s">
        <v>12</v>
      </c>
      <c r="F359" s="11" t="s">
        <v>12</v>
      </c>
      <c r="G359" s="11" t="s">
        <v>13</v>
      </c>
      <c r="H359" s="11">
        <v>2283</v>
      </c>
      <c r="I359" s="11">
        <v>1438</v>
      </c>
      <c r="K359" s="8" t="s">
        <v>402</v>
      </c>
      <c r="L359">
        <v>96745</v>
      </c>
      <c r="AA359" s="1">
        <v>43439</v>
      </c>
      <c r="AB359">
        <v>3755</v>
      </c>
    </row>
    <row r="360" spans="1:28" x14ac:dyDescent="0.35">
      <c r="A360" s="11" t="s">
        <v>384</v>
      </c>
      <c r="B360" s="12">
        <v>43459</v>
      </c>
      <c r="C360" s="11" t="s">
        <v>15</v>
      </c>
      <c r="D360" s="11" t="s">
        <v>11</v>
      </c>
      <c r="E360" s="11" t="s">
        <v>12</v>
      </c>
      <c r="F360" s="11" t="s">
        <v>12</v>
      </c>
      <c r="G360" s="11" t="s">
        <v>13</v>
      </c>
      <c r="H360" s="11">
        <v>2696</v>
      </c>
      <c r="I360" s="11">
        <v>1833</v>
      </c>
      <c r="K360" s="13">
        <v>43435</v>
      </c>
      <c r="L360">
        <v>2966</v>
      </c>
      <c r="AA360" s="1">
        <v>43440</v>
      </c>
      <c r="AB360">
        <v>3215</v>
      </c>
    </row>
    <row r="361" spans="1:28" x14ac:dyDescent="0.35">
      <c r="A361" s="11" t="s">
        <v>385</v>
      </c>
      <c r="B361" s="12">
        <v>43460</v>
      </c>
      <c r="C361" s="11" t="s">
        <v>17</v>
      </c>
      <c r="D361" s="11" t="s">
        <v>11</v>
      </c>
      <c r="E361" s="11" t="s">
        <v>12</v>
      </c>
      <c r="F361" s="11" t="s">
        <v>12</v>
      </c>
      <c r="G361" s="11" t="s">
        <v>13</v>
      </c>
      <c r="H361" s="11">
        <v>4061</v>
      </c>
      <c r="I361" s="11">
        <v>3127</v>
      </c>
      <c r="K361" s="13">
        <v>43436</v>
      </c>
      <c r="L361">
        <v>2106</v>
      </c>
      <c r="AA361" s="1">
        <v>43441</v>
      </c>
      <c r="AB361">
        <v>3685</v>
      </c>
    </row>
    <row r="362" spans="1:28" x14ac:dyDescent="0.35">
      <c r="A362" s="11" t="s">
        <v>386</v>
      </c>
      <c r="B362" s="12">
        <v>43461</v>
      </c>
      <c r="C362" s="11" t="s">
        <v>19</v>
      </c>
      <c r="D362" s="11" t="s">
        <v>20</v>
      </c>
      <c r="E362" s="11" t="s">
        <v>21</v>
      </c>
      <c r="F362" s="11" t="s">
        <v>22</v>
      </c>
      <c r="G362" s="11" t="s">
        <v>13</v>
      </c>
      <c r="H362" s="11">
        <v>2382</v>
      </c>
      <c r="I362" s="11">
        <v>1548</v>
      </c>
      <c r="K362" s="13">
        <v>43437</v>
      </c>
      <c r="L362">
        <v>3664</v>
      </c>
      <c r="AA362" s="1">
        <v>43442</v>
      </c>
      <c r="AB362">
        <v>4015</v>
      </c>
    </row>
    <row r="363" spans="1:28" x14ac:dyDescent="0.35">
      <c r="A363" s="11" t="s">
        <v>387</v>
      </c>
      <c r="B363" s="12">
        <v>43462</v>
      </c>
      <c r="C363" s="11" t="s">
        <v>24</v>
      </c>
      <c r="D363" s="11" t="s">
        <v>20</v>
      </c>
      <c r="E363" s="11" t="s">
        <v>21</v>
      </c>
      <c r="F363" s="11" t="s">
        <v>22</v>
      </c>
      <c r="G363" s="11" t="s">
        <v>13</v>
      </c>
      <c r="H363" s="11">
        <v>4336</v>
      </c>
      <c r="I363" s="11">
        <v>2602</v>
      </c>
      <c r="K363" s="13">
        <v>43438</v>
      </c>
      <c r="L363">
        <v>3069</v>
      </c>
      <c r="AA363" s="1">
        <v>43443</v>
      </c>
      <c r="AB363">
        <v>2517</v>
      </c>
    </row>
    <row r="364" spans="1:28" x14ac:dyDescent="0.35">
      <c r="A364" s="11" t="s">
        <v>388</v>
      </c>
      <c r="B364" s="12">
        <v>43463</v>
      </c>
      <c r="C364" s="11" t="s">
        <v>26</v>
      </c>
      <c r="D364" s="11" t="s">
        <v>20</v>
      </c>
      <c r="E364" s="11" t="s">
        <v>21</v>
      </c>
      <c r="F364" s="11" t="s">
        <v>22</v>
      </c>
      <c r="G364" s="11" t="s">
        <v>13</v>
      </c>
      <c r="H364" s="11">
        <v>2602</v>
      </c>
      <c r="I364" s="11">
        <v>2004</v>
      </c>
      <c r="K364" s="13">
        <v>43439</v>
      </c>
      <c r="L364">
        <v>3755</v>
      </c>
      <c r="AA364" s="1">
        <v>43444</v>
      </c>
      <c r="AB364">
        <v>2598</v>
      </c>
    </row>
    <row r="365" spans="1:28" x14ac:dyDescent="0.35">
      <c r="A365" s="11" t="s">
        <v>389</v>
      </c>
      <c r="B365" s="12">
        <v>43464</v>
      </c>
      <c r="C365" s="11" t="s">
        <v>28</v>
      </c>
      <c r="D365" s="11" t="s">
        <v>20</v>
      </c>
      <c r="E365" s="11" t="s">
        <v>21</v>
      </c>
      <c r="F365" s="11" t="s">
        <v>22</v>
      </c>
      <c r="G365" s="11" t="s">
        <v>13</v>
      </c>
      <c r="H365" s="11">
        <v>3094</v>
      </c>
      <c r="I365" s="11">
        <v>2073</v>
      </c>
      <c r="K365" s="13">
        <v>43440</v>
      </c>
      <c r="L365">
        <v>3215</v>
      </c>
      <c r="AA365" s="1">
        <v>43445</v>
      </c>
      <c r="AB365">
        <v>3513</v>
      </c>
    </row>
    <row r="366" spans="1:28" x14ac:dyDescent="0.35">
      <c r="A366" s="11" t="s">
        <v>390</v>
      </c>
      <c r="B366" s="12">
        <v>43465</v>
      </c>
      <c r="C366" s="11" t="s">
        <v>30</v>
      </c>
      <c r="D366" s="11" t="s">
        <v>20</v>
      </c>
      <c r="E366" s="11" t="s">
        <v>21</v>
      </c>
      <c r="F366" s="11" t="s">
        <v>22</v>
      </c>
      <c r="G366" s="11" t="s">
        <v>13</v>
      </c>
      <c r="H366" s="11">
        <v>3510</v>
      </c>
      <c r="I366" s="11">
        <v>2141</v>
      </c>
      <c r="K366" s="13">
        <v>43441</v>
      </c>
      <c r="L366">
        <v>3685</v>
      </c>
      <c r="AA366" s="1">
        <v>43446</v>
      </c>
      <c r="AB366">
        <v>2247</v>
      </c>
    </row>
    <row r="367" spans="1:28" x14ac:dyDescent="0.35">
      <c r="K367" s="13">
        <v>43442</v>
      </c>
      <c r="L367">
        <v>4015</v>
      </c>
      <c r="AA367" s="1">
        <v>43447</v>
      </c>
      <c r="AB367">
        <v>2878</v>
      </c>
    </row>
    <row r="368" spans="1:28" x14ac:dyDescent="0.35">
      <c r="K368" s="13">
        <v>43443</v>
      </c>
      <c r="L368">
        <v>2517</v>
      </c>
      <c r="AA368" s="1">
        <v>43448</v>
      </c>
      <c r="AB368">
        <v>3425</v>
      </c>
    </row>
    <row r="369" spans="11:28" x14ac:dyDescent="0.35">
      <c r="K369" s="13">
        <v>43444</v>
      </c>
      <c r="L369">
        <v>2598</v>
      </c>
      <c r="AA369" s="1">
        <v>43449</v>
      </c>
      <c r="AB369">
        <v>2865</v>
      </c>
    </row>
    <row r="370" spans="11:28" x14ac:dyDescent="0.35">
      <c r="K370" s="13">
        <v>43445</v>
      </c>
      <c r="L370">
        <v>3513</v>
      </c>
      <c r="AA370" s="1">
        <v>43450</v>
      </c>
      <c r="AB370">
        <v>2393</v>
      </c>
    </row>
    <row r="371" spans="11:28" x14ac:dyDescent="0.35">
      <c r="K371" s="13">
        <v>43446</v>
      </c>
      <c r="L371">
        <v>2247</v>
      </c>
      <c r="AA371" s="1">
        <v>43451</v>
      </c>
      <c r="AB371">
        <v>3149</v>
      </c>
    </row>
    <row r="372" spans="11:28" x14ac:dyDescent="0.35">
      <c r="K372" s="13">
        <v>43447</v>
      </c>
      <c r="L372">
        <v>2878</v>
      </c>
      <c r="AA372" s="1">
        <v>43452</v>
      </c>
      <c r="AB372">
        <v>3277</v>
      </c>
    </row>
    <row r="373" spans="11:28" x14ac:dyDescent="0.35">
      <c r="K373" s="13">
        <v>43448</v>
      </c>
      <c r="L373">
        <v>3425</v>
      </c>
      <c r="AA373" s="1">
        <v>43453</v>
      </c>
      <c r="AB373">
        <v>2713</v>
      </c>
    </row>
    <row r="374" spans="11:28" x14ac:dyDescent="0.35">
      <c r="K374" s="13">
        <v>43449</v>
      </c>
      <c r="L374">
        <v>2865</v>
      </c>
      <c r="AA374" s="1">
        <v>43454</v>
      </c>
      <c r="AB374">
        <v>3381</v>
      </c>
    </row>
    <row r="375" spans="11:28" x14ac:dyDescent="0.35">
      <c r="K375" s="13">
        <v>43450</v>
      </c>
      <c r="L375">
        <v>2393</v>
      </c>
      <c r="AA375" s="1">
        <v>43455</v>
      </c>
      <c r="AB375">
        <v>2545</v>
      </c>
    </row>
    <row r="376" spans="11:28" x14ac:dyDescent="0.35">
      <c r="K376" s="13">
        <v>43451</v>
      </c>
      <c r="L376">
        <v>3149</v>
      </c>
      <c r="AA376" s="1">
        <v>43456</v>
      </c>
      <c r="AB376">
        <v>4473</v>
      </c>
    </row>
    <row r="377" spans="11:28" x14ac:dyDescent="0.35">
      <c r="K377" s="13">
        <v>43452</v>
      </c>
      <c r="L377">
        <v>3277</v>
      </c>
      <c r="AA377" s="1">
        <v>43457</v>
      </c>
      <c r="AB377">
        <v>3332</v>
      </c>
    </row>
    <row r="378" spans="11:28" x14ac:dyDescent="0.35">
      <c r="K378" s="13">
        <v>43453</v>
      </c>
      <c r="L378">
        <v>2713</v>
      </c>
      <c r="AA378" s="1">
        <v>43458</v>
      </c>
      <c r="AB378">
        <v>2283</v>
      </c>
    </row>
    <row r="379" spans="11:28" x14ac:dyDescent="0.35">
      <c r="K379" s="13">
        <v>43454</v>
      </c>
      <c r="L379">
        <v>3381</v>
      </c>
      <c r="AA379" s="1">
        <v>43459</v>
      </c>
      <c r="AB379">
        <v>2696</v>
      </c>
    </row>
    <row r="380" spans="11:28" x14ac:dyDescent="0.35">
      <c r="K380" s="13">
        <v>43455</v>
      </c>
      <c r="L380">
        <v>2545</v>
      </c>
      <c r="AA380" s="1">
        <v>43460</v>
      </c>
      <c r="AB380">
        <v>4061</v>
      </c>
    </row>
    <row r="381" spans="11:28" x14ac:dyDescent="0.35">
      <c r="K381" s="13">
        <v>43456</v>
      </c>
      <c r="L381">
        <v>4473</v>
      </c>
      <c r="AA381" s="1">
        <v>43461</v>
      </c>
      <c r="AB381">
        <v>2382</v>
      </c>
    </row>
    <row r="382" spans="11:28" x14ac:dyDescent="0.35">
      <c r="K382" s="13">
        <v>43457</v>
      </c>
      <c r="L382">
        <v>3332</v>
      </c>
      <c r="AA382" s="1">
        <v>43462</v>
      </c>
      <c r="AB382">
        <v>4336</v>
      </c>
    </row>
    <row r="383" spans="11:28" x14ac:dyDescent="0.35">
      <c r="K383" s="13">
        <v>43458</v>
      </c>
      <c r="L383">
        <v>2283</v>
      </c>
      <c r="AA383" s="1">
        <v>43463</v>
      </c>
      <c r="AB383">
        <v>2602</v>
      </c>
    </row>
    <row r="384" spans="11:28" x14ac:dyDescent="0.35">
      <c r="K384" s="13">
        <v>43459</v>
      </c>
      <c r="L384">
        <v>2696</v>
      </c>
      <c r="AA384" s="1">
        <v>43464</v>
      </c>
      <c r="AB384">
        <v>3094</v>
      </c>
    </row>
    <row r="385" spans="11:28" x14ac:dyDescent="0.35">
      <c r="K385" s="13">
        <v>43460</v>
      </c>
      <c r="L385">
        <v>4061</v>
      </c>
      <c r="AA385" s="1">
        <v>43465</v>
      </c>
      <c r="AB385">
        <v>3510</v>
      </c>
    </row>
    <row r="386" spans="11:28" x14ac:dyDescent="0.35">
      <c r="K386" s="13">
        <v>43461</v>
      </c>
      <c r="L386">
        <v>2382</v>
      </c>
      <c r="Z386" t="s">
        <v>422</v>
      </c>
      <c r="AB386">
        <v>96745</v>
      </c>
    </row>
    <row r="387" spans="11:28" x14ac:dyDescent="0.35">
      <c r="K387" s="13">
        <v>43462</v>
      </c>
      <c r="L387">
        <v>4336</v>
      </c>
      <c r="Y387" t="s">
        <v>427</v>
      </c>
      <c r="AB387">
        <v>290202</v>
      </c>
    </row>
    <row r="388" spans="11:28" x14ac:dyDescent="0.35">
      <c r="K388" s="13">
        <v>43463</v>
      </c>
      <c r="L388">
        <v>2602</v>
      </c>
      <c r="Y388" t="s">
        <v>83</v>
      </c>
      <c r="AB388">
        <v>1148843</v>
      </c>
    </row>
    <row r="389" spans="11:28" x14ac:dyDescent="0.35">
      <c r="K389" s="13">
        <v>43464</v>
      </c>
      <c r="L389">
        <v>3094</v>
      </c>
    </row>
    <row r="390" spans="11:28" x14ac:dyDescent="0.35">
      <c r="K390" s="13">
        <v>43465</v>
      </c>
      <c r="L390">
        <v>3510</v>
      </c>
    </row>
    <row r="391" spans="11:28" x14ac:dyDescent="0.35">
      <c r="K391" s="7" t="s">
        <v>83</v>
      </c>
      <c r="L391">
        <v>1148843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4BFBE-9CD8-476C-BC3D-94EE1DFD1998}">
  <sheetPr codeName="Sheet6"/>
  <dimension ref="A1:I64"/>
  <sheetViews>
    <sheetView topLeftCell="A32" workbookViewId="0">
      <selection activeCell="J9" sqref="J9"/>
    </sheetView>
  </sheetViews>
  <sheetFormatPr defaultRowHeight="18" x14ac:dyDescent="0.4"/>
  <cols>
    <col min="1" max="1" width="15.54296875" style="4" customWidth="1"/>
    <col min="2" max="2" width="16" style="4" customWidth="1"/>
    <col min="3" max="3" width="16.08984375" style="4" customWidth="1"/>
    <col min="4" max="4" width="11.6328125" style="4" customWidth="1"/>
    <col min="5" max="5" width="16.7265625" style="4" customWidth="1"/>
    <col min="6" max="6" width="13.453125" style="4" customWidth="1"/>
    <col min="7" max="7" width="9.36328125" style="4" customWidth="1"/>
    <col min="8" max="8" width="6.81640625" style="4" customWidth="1"/>
    <col min="9" max="9" width="8.7265625" style="4"/>
  </cols>
  <sheetData>
    <row r="1" spans="1:9" ht="17.5" x14ac:dyDescent="0.35">
      <c r="A1" s="2" t="s">
        <v>0</v>
      </c>
      <c r="B1" s="3" t="s">
        <v>1</v>
      </c>
      <c r="C1" s="2" t="s">
        <v>2</v>
      </c>
      <c r="D1" s="2" t="s">
        <v>3</v>
      </c>
      <c r="E1" s="2" t="s">
        <v>4</v>
      </c>
      <c r="F1" s="2" t="s">
        <v>5</v>
      </c>
      <c r="G1" s="2" t="s">
        <v>6</v>
      </c>
      <c r="H1" s="2" t="s">
        <v>7</v>
      </c>
      <c r="I1" s="2" t="s">
        <v>8</v>
      </c>
    </row>
    <row r="2" spans="1:9" x14ac:dyDescent="0.4">
      <c r="A2" s="4" t="s">
        <v>9</v>
      </c>
      <c r="B2" s="5">
        <v>43101</v>
      </c>
      <c r="C2" s="4" t="s">
        <v>10</v>
      </c>
      <c r="D2" s="4" t="s">
        <v>11</v>
      </c>
      <c r="E2" s="4" t="s">
        <v>12</v>
      </c>
      <c r="F2" s="4" t="s">
        <v>12</v>
      </c>
      <c r="G2" s="4" t="s">
        <v>13</v>
      </c>
      <c r="H2" s="4">
        <v>2934</v>
      </c>
      <c r="I2" s="4">
        <v>1819</v>
      </c>
    </row>
    <row r="3" spans="1:9" x14ac:dyDescent="0.4">
      <c r="A3" s="4" t="s">
        <v>14</v>
      </c>
      <c r="B3" s="5">
        <v>43101</v>
      </c>
      <c r="C3" s="4" t="s">
        <v>15</v>
      </c>
      <c r="D3" s="4" t="s">
        <v>11</v>
      </c>
      <c r="E3" s="4" t="s">
        <v>12</v>
      </c>
      <c r="F3" s="4" t="s">
        <v>12</v>
      </c>
      <c r="G3" s="4" t="s">
        <v>13</v>
      </c>
      <c r="H3" s="4">
        <v>4354</v>
      </c>
      <c r="I3" s="4">
        <v>2787</v>
      </c>
    </row>
    <row r="4" spans="1:9" x14ac:dyDescent="0.4">
      <c r="A4" s="4" t="s">
        <v>16</v>
      </c>
      <c r="B4" s="5">
        <v>43101</v>
      </c>
      <c r="C4" s="4" t="s">
        <v>17</v>
      </c>
      <c r="D4" s="4" t="s">
        <v>11</v>
      </c>
      <c r="E4" s="4" t="s">
        <v>12</v>
      </c>
      <c r="F4" s="4" t="s">
        <v>12</v>
      </c>
      <c r="G4" s="4" t="s">
        <v>13</v>
      </c>
      <c r="H4" s="4">
        <v>2102</v>
      </c>
      <c r="I4" s="4">
        <v>1534</v>
      </c>
    </row>
    <row r="5" spans="1:9" x14ac:dyDescent="0.4">
      <c r="A5" s="4" t="s">
        <v>18</v>
      </c>
      <c r="B5" s="5">
        <v>43102</v>
      </c>
      <c r="C5" s="4" t="s">
        <v>19</v>
      </c>
      <c r="D5" s="4" t="s">
        <v>20</v>
      </c>
      <c r="E5" s="4" t="s">
        <v>21</v>
      </c>
      <c r="F5" s="4" t="s">
        <v>22</v>
      </c>
      <c r="G5" s="4" t="s">
        <v>13</v>
      </c>
      <c r="H5" s="4">
        <v>3261</v>
      </c>
      <c r="I5" s="4">
        <v>2446</v>
      </c>
    </row>
    <row r="6" spans="1:9" x14ac:dyDescent="0.4">
      <c r="A6" s="4" t="s">
        <v>23</v>
      </c>
      <c r="B6" s="5">
        <v>43102</v>
      </c>
      <c r="C6" s="4" t="s">
        <v>24</v>
      </c>
      <c r="D6" s="4" t="s">
        <v>20</v>
      </c>
      <c r="E6" s="4" t="s">
        <v>21</v>
      </c>
      <c r="F6" s="4" t="s">
        <v>22</v>
      </c>
      <c r="G6" s="4" t="s">
        <v>13</v>
      </c>
      <c r="H6" s="4">
        <v>2577</v>
      </c>
      <c r="I6" s="4">
        <v>1907</v>
      </c>
    </row>
    <row r="7" spans="1:9" x14ac:dyDescent="0.4">
      <c r="A7" s="4" t="s">
        <v>25</v>
      </c>
      <c r="B7" s="5">
        <v>43102</v>
      </c>
      <c r="C7" s="4" t="s">
        <v>26</v>
      </c>
      <c r="D7" s="4" t="s">
        <v>20</v>
      </c>
      <c r="E7" s="4" t="s">
        <v>21</v>
      </c>
      <c r="F7" s="4" t="s">
        <v>22</v>
      </c>
      <c r="G7" s="4" t="s">
        <v>13</v>
      </c>
      <c r="H7" s="4">
        <v>3131</v>
      </c>
      <c r="I7" s="4">
        <v>1973</v>
      </c>
    </row>
    <row r="8" spans="1:9" x14ac:dyDescent="0.4">
      <c r="A8" s="4" t="s">
        <v>27</v>
      </c>
      <c r="B8" s="5">
        <v>43102</v>
      </c>
      <c r="C8" s="4" t="s">
        <v>28</v>
      </c>
      <c r="D8" s="4" t="s">
        <v>20</v>
      </c>
      <c r="E8" s="4" t="s">
        <v>21</v>
      </c>
      <c r="F8" s="4" t="s">
        <v>22</v>
      </c>
      <c r="G8" s="4" t="s">
        <v>13</v>
      </c>
      <c r="H8" s="4">
        <v>2683</v>
      </c>
      <c r="I8" s="4">
        <v>1798</v>
      </c>
    </row>
    <row r="9" spans="1:9" x14ac:dyDescent="0.4">
      <c r="A9" s="4" t="s">
        <v>29</v>
      </c>
      <c r="B9" s="5">
        <v>43102</v>
      </c>
      <c r="C9" s="4" t="s">
        <v>30</v>
      </c>
      <c r="D9" s="4" t="s">
        <v>20</v>
      </c>
      <c r="E9" s="4" t="s">
        <v>21</v>
      </c>
      <c r="F9" s="4" t="s">
        <v>22</v>
      </c>
      <c r="G9" s="4" t="s">
        <v>13</v>
      </c>
      <c r="H9" s="4">
        <v>2613</v>
      </c>
      <c r="I9" s="4">
        <v>1751</v>
      </c>
    </row>
    <row r="10" spans="1:9" x14ac:dyDescent="0.4">
      <c r="A10" s="4" t="s">
        <v>31</v>
      </c>
      <c r="B10" s="5">
        <v>43103</v>
      </c>
      <c r="C10" s="4" t="s">
        <v>32</v>
      </c>
      <c r="D10" s="4" t="s">
        <v>33</v>
      </c>
      <c r="E10" s="4" t="s">
        <v>34</v>
      </c>
      <c r="F10" s="4" t="s">
        <v>35</v>
      </c>
      <c r="G10" s="4" t="s">
        <v>36</v>
      </c>
      <c r="H10" s="4">
        <v>4076</v>
      </c>
      <c r="I10" s="4">
        <v>2609</v>
      </c>
    </row>
    <row r="11" spans="1:9" x14ac:dyDescent="0.4">
      <c r="A11" s="4" t="s">
        <v>37</v>
      </c>
      <c r="B11" s="5">
        <v>43103</v>
      </c>
      <c r="C11" s="4" t="s">
        <v>38</v>
      </c>
      <c r="D11" s="4" t="s">
        <v>39</v>
      </c>
      <c r="E11" s="4" t="s">
        <v>40</v>
      </c>
      <c r="F11" s="4" t="s">
        <v>41</v>
      </c>
      <c r="G11" s="4" t="s">
        <v>42</v>
      </c>
      <c r="H11" s="4">
        <v>4400</v>
      </c>
      <c r="I11" s="4">
        <v>3432</v>
      </c>
    </row>
    <row r="12" spans="1:9" x14ac:dyDescent="0.4">
      <c r="A12" s="4" t="s">
        <v>43</v>
      </c>
      <c r="B12" s="5">
        <v>43103</v>
      </c>
      <c r="C12" s="4" t="s">
        <v>44</v>
      </c>
      <c r="D12" s="4" t="s">
        <v>33</v>
      </c>
      <c r="E12" s="4" t="s">
        <v>45</v>
      </c>
      <c r="F12" s="4" t="s">
        <v>46</v>
      </c>
      <c r="G12" s="4" t="s">
        <v>36</v>
      </c>
      <c r="H12" s="4">
        <v>2466</v>
      </c>
      <c r="I12" s="4">
        <v>1603</v>
      </c>
    </row>
    <row r="13" spans="1:9" x14ac:dyDescent="0.4">
      <c r="A13" s="4" t="s">
        <v>47</v>
      </c>
      <c r="B13" s="5">
        <v>43104</v>
      </c>
      <c r="C13" s="4" t="s">
        <v>48</v>
      </c>
      <c r="D13" s="4" t="s">
        <v>49</v>
      </c>
      <c r="E13" s="4" t="s">
        <v>50</v>
      </c>
      <c r="F13" s="4" t="s">
        <v>51</v>
      </c>
      <c r="G13" s="4" t="s">
        <v>42</v>
      </c>
      <c r="H13" s="4">
        <v>2137</v>
      </c>
      <c r="I13" s="4">
        <v>1325</v>
      </c>
    </row>
    <row r="14" spans="1:9" x14ac:dyDescent="0.4">
      <c r="A14" s="4" t="s">
        <v>52</v>
      </c>
      <c r="B14" s="5">
        <v>43104</v>
      </c>
      <c r="C14" s="4" t="s">
        <v>53</v>
      </c>
      <c r="D14" s="4" t="s">
        <v>49</v>
      </c>
      <c r="E14" s="4" t="s">
        <v>54</v>
      </c>
      <c r="F14" s="4" t="s">
        <v>55</v>
      </c>
      <c r="G14" s="4" t="s">
        <v>42</v>
      </c>
      <c r="H14" s="4">
        <v>4216</v>
      </c>
      <c r="I14" s="4">
        <v>3162</v>
      </c>
    </row>
    <row r="15" spans="1:9" x14ac:dyDescent="0.4">
      <c r="A15" s="4" t="s">
        <v>56</v>
      </c>
      <c r="B15" s="5">
        <v>43104</v>
      </c>
      <c r="C15" s="4" t="s">
        <v>57</v>
      </c>
      <c r="D15" s="4" t="s">
        <v>49</v>
      </c>
      <c r="E15" s="4" t="s">
        <v>54</v>
      </c>
      <c r="F15" s="4" t="s">
        <v>55</v>
      </c>
      <c r="G15" s="4" t="s">
        <v>42</v>
      </c>
      <c r="H15" s="4">
        <v>3165</v>
      </c>
      <c r="I15" s="4">
        <v>2310</v>
      </c>
    </row>
    <row r="16" spans="1:9" x14ac:dyDescent="0.4">
      <c r="A16" s="4" t="s">
        <v>58</v>
      </c>
      <c r="B16" s="5">
        <v>43104</v>
      </c>
      <c r="C16" s="4" t="s">
        <v>59</v>
      </c>
      <c r="D16" s="4" t="s">
        <v>60</v>
      </c>
      <c r="E16" s="4" t="s">
        <v>61</v>
      </c>
      <c r="F16" s="4" t="s">
        <v>62</v>
      </c>
      <c r="G16" s="4" t="s">
        <v>13</v>
      </c>
      <c r="H16" s="4">
        <v>3263</v>
      </c>
      <c r="I16" s="4">
        <v>2545</v>
      </c>
    </row>
    <row r="17" spans="1:9" x14ac:dyDescent="0.4">
      <c r="A17" s="4" t="s">
        <v>63</v>
      </c>
      <c r="B17" s="5">
        <v>43104</v>
      </c>
      <c r="C17" s="4" t="s">
        <v>64</v>
      </c>
      <c r="D17" s="4" t="s">
        <v>20</v>
      </c>
      <c r="E17" s="4" t="s">
        <v>65</v>
      </c>
      <c r="F17" s="4" t="s">
        <v>66</v>
      </c>
      <c r="G17" s="4" t="s">
        <v>13</v>
      </c>
      <c r="H17" s="4">
        <v>2946</v>
      </c>
      <c r="I17" s="4">
        <v>2210</v>
      </c>
    </row>
    <row r="18" spans="1:9" x14ac:dyDescent="0.4">
      <c r="A18" s="4" t="s">
        <v>67</v>
      </c>
      <c r="B18" s="5">
        <v>43104</v>
      </c>
      <c r="C18" s="4" t="s">
        <v>68</v>
      </c>
      <c r="D18" s="4" t="s">
        <v>69</v>
      </c>
      <c r="E18" s="4" t="s">
        <v>70</v>
      </c>
      <c r="F18" s="4" t="s">
        <v>71</v>
      </c>
      <c r="G18" s="4" t="s">
        <v>13</v>
      </c>
      <c r="H18" s="4">
        <v>2989</v>
      </c>
      <c r="I18" s="4">
        <v>2212</v>
      </c>
    </row>
    <row r="19" spans="1:9" x14ac:dyDescent="0.4">
      <c r="A19" s="4" t="s">
        <v>72</v>
      </c>
      <c r="B19" s="5">
        <v>43105</v>
      </c>
      <c r="C19" s="4" t="s">
        <v>73</v>
      </c>
      <c r="D19" s="4" t="s">
        <v>69</v>
      </c>
      <c r="E19" s="4" t="s">
        <v>70</v>
      </c>
      <c r="F19" s="4" t="s">
        <v>71</v>
      </c>
      <c r="G19" s="4" t="s">
        <v>13</v>
      </c>
      <c r="H19" s="4">
        <v>3463</v>
      </c>
      <c r="I19" s="4">
        <v>2770</v>
      </c>
    </row>
    <row r="20" spans="1:9" x14ac:dyDescent="0.4">
      <c r="A20" s="4" t="s">
        <v>74</v>
      </c>
      <c r="B20" s="5">
        <v>43105</v>
      </c>
      <c r="C20" s="4" t="s">
        <v>75</v>
      </c>
      <c r="D20" s="4" t="s">
        <v>49</v>
      </c>
      <c r="E20" s="4" t="s">
        <v>50</v>
      </c>
      <c r="F20" s="4" t="s">
        <v>76</v>
      </c>
      <c r="G20" s="4" t="s">
        <v>42</v>
      </c>
      <c r="H20" s="4">
        <v>2677</v>
      </c>
      <c r="I20" s="4">
        <v>2088</v>
      </c>
    </row>
    <row r="21" spans="1:9" x14ac:dyDescent="0.4">
      <c r="A21" s="4" t="s">
        <v>77</v>
      </c>
      <c r="B21" s="5">
        <v>43107</v>
      </c>
      <c r="C21" s="4" t="s">
        <v>78</v>
      </c>
      <c r="D21" s="4" t="s">
        <v>49</v>
      </c>
      <c r="E21" s="4" t="s">
        <v>50</v>
      </c>
      <c r="F21" s="4" t="s">
        <v>76</v>
      </c>
      <c r="G21" s="4" t="s">
        <v>42</v>
      </c>
      <c r="H21" s="4">
        <v>2966</v>
      </c>
      <c r="I21" s="4">
        <v>1928</v>
      </c>
    </row>
    <row r="22" spans="1:9" x14ac:dyDescent="0.4">
      <c r="A22" s="4" t="s">
        <v>79</v>
      </c>
      <c r="B22" s="5">
        <v>43107</v>
      </c>
      <c r="C22" s="4" t="s">
        <v>80</v>
      </c>
      <c r="D22" s="4" t="s">
        <v>49</v>
      </c>
      <c r="E22" s="4" t="s">
        <v>50</v>
      </c>
      <c r="F22" s="4" t="s">
        <v>76</v>
      </c>
      <c r="G22" s="4" t="s">
        <v>42</v>
      </c>
      <c r="H22" s="4">
        <v>2106</v>
      </c>
      <c r="I22" s="4">
        <v>1516</v>
      </c>
    </row>
    <row r="23" spans="1:9" x14ac:dyDescent="0.4">
      <c r="A23" s="4" t="s">
        <v>9</v>
      </c>
      <c r="B23" s="5">
        <v>43107</v>
      </c>
      <c r="C23" s="4" t="s">
        <v>10</v>
      </c>
      <c r="D23" s="4" t="s">
        <v>11</v>
      </c>
      <c r="E23" s="4" t="s">
        <v>12</v>
      </c>
      <c r="F23" s="4" t="s">
        <v>12</v>
      </c>
      <c r="G23" s="4" t="s">
        <v>13</v>
      </c>
      <c r="H23" s="4">
        <v>3664</v>
      </c>
      <c r="I23" s="4">
        <v>2272</v>
      </c>
    </row>
    <row r="24" spans="1:9" x14ac:dyDescent="0.4">
      <c r="A24" s="4" t="s">
        <v>14</v>
      </c>
      <c r="B24" s="5">
        <v>43108</v>
      </c>
      <c r="C24" s="4" t="s">
        <v>15</v>
      </c>
      <c r="D24" s="4" t="s">
        <v>11</v>
      </c>
      <c r="E24" s="4" t="s">
        <v>12</v>
      </c>
      <c r="F24" s="4" t="s">
        <v>12</v>
      </c>
      <c r="G24" s="4" t="s">
        <v>13</v>
      </c>
      <c r="H24" s="4">
        <v>3069</v>
      </c>
      <c r="I24" s="4">
        <v>2240</v>
      </c>
    </row>
    <row r="25" spans="1:9" x14ac:dyDescent="0.4">
      <c r="A25" s="4" t="s">
        <v>16</v>
      </c>
      <c r="B25" s="5">
        <v>43108</v>
      </c>
      <c r="C25" s="4" t="s">
        <v>17</v>
      </c>
      <c r="D25" s="4" t="s">
        <v>11</v>
      </c>
      <c r="E25" s="4" t="s">
        <v>12</v>
      </c>
      <c r="F25" s="4" t="s">
        <v>12</v>
      </c>
      <c r="G25" s="4" t="s">
        <v>13</v>
      </c>
      <c r="H25" s="4">
        <v>3755</v>
      </c>
      <c r="I25" s="4">
        <v>2516</v>
      </c>
    </row>
    <row r="26" spans="1:9" x14ac:dyDescent="0.4">
      <c r="A26" s="4" t="s">
        <v>18</v>
      </c>
      <c r="B26" s="5">
        <v>43108</v>
      </c>
      <c r="C26" s="4" t="s">
        <v>19</v>
      </c>
      <c r="D26" s="4" t="s">
        <v>20</v>
      </c>
      <c r="E26" s="4" t="s">
        <v>21</v>
      </c>
      <c r="F26" s="4" t="s">
        <v>22</v>
      </c>
      <c r="G26" s="4" t="s">
        <v>13</v>
      </c>
      <c r="H26" s="4">
        <v>3215</v>
      </c>
      <c r="I26" s="4">
        <v>2058</v>
      </c>
    </row>
    <row r="27" spans="1:9" x14ac:dyDescent="0.4">
      <c r="A27" s="4" t="s">
        <v>23</v>
      </c>
      <c r="B27" s="5">
        <v>43108</v>
      </c>
      <c r="C27" s="4" t="s">
        <v>24</v>
      </c>
      <c r="D27" s="4" t="s">
        <v>20</v>
      </c>
      <c r="E27" s="4" t="s">
        <v>21</v>
      </c>
      <c r="F27" s="4" t="s">
        <v>22</v>
      </c>
      <c r="G27" s="4" t="s">
        <v>13</v>
      </c>
      <c r="H27" s="4">
        <v>3685</v>
      </c>
      <c r="I27" s="4">
        <v>2543</v>
      </c>
    </row>
    <row r="28" spans="1:9" x14ac:dyDescent="0.4">
      <c r="A28" s="4" t="s">
        <v>25</v>
      </c>
      <c r="B28" s="5">
        <v>43108</v>
      </c>
      <c r="C28" s="4" t="s">
        <v>26</v>
      </c>
      <c r="D28" s="4" t="s">
        <v>20</v>
      </c>
      <c r="E28" s="4" t="s">
        <v>21</v>
      </c>
      <c r="F28" s="4" t="s">
        <v>22</v>
      </c>
      <c r="G28" s="4" t="s">
        <v>13</v>
      </c>
      <c r="H28" s="4">
        <v>4015</v>
      </c>
      <c r="I28" s="4">
        <v>2730</v>
      </c>
    </row>
    <row r="29" spans="1:9" x14ac:dyDescent="0.4">
      <c r="A29" s="4" t="s">
        <v>27</v>
      </c>
      <c r="B29" s="5">
        <v>43108</v>
      </c>
      <c r="C29" s="4" t="s">
        <v>28</v>
      </c>
      <c r="D29" s="4" t="s">
        <v>20</v>
      </c>
      <c r="E29" s="4" t="s">
        <v>21</v>
      </c>
      <c r="F29" s="4" t="s">
        <v>22</v>
      </c>
      <c r="G29" s="4" t="s">
        <v>13</v>
      </c>
      <c r="H29" s="4">
        <v>2517</v>
      </c>
      <c r="I29" s="4">
        <v>1661</v>
      </c>
    </row>
    <row r="30" spans="1:9" x14ac:dyDescent="0.4">
      <c r="A30" s="4" t="s">
        <v>29</v>
      </c>
      <c r="B30" s="5">
        <v>43112</v>
      </c>
      <c r="C30" s="4" t="s">
        <v>30</v>
      </c>
      <c r="D30" s="4" t="s">
        <v>20</v>
      </c>
      <c r="E30" s="4" t="s">
        <v>21</v>
      </c>
      <c r="F30" s="4" t="s">
        <v>22</v>
      </c>
      <c r="G30" s="4" t="s">
        <v>13</v>
      </c>
      <c r="H30" s="4">
        <v>2598</v>
      </c>
      <c r="I30" s="4">
        <v>1793</v>
      </c>
    </row>
    <row r="31" spans="1:9" x14ac:dyDescent="0.4">
      <c r="A31" s="4" t="s">
        <v>31</v>
      </c>
      <c r="B31" s="5">
        <v>43112</v>
      </c>
      <c r="C31" s="4" t="s">
        <v>32</v>
      </c>
      <c r="D31" s="4" t="s">
        <v>33</v>
      </c>
      <c r="E31" s="4" t="s">
        <v>34</v>
      </c>
      <c r="F31" s="4" t="s">
        <v>35</v>
      </c>
      <c r="G31" s="4" t="s">
        <v>36</v>
      </c>
      <c r="H31" s="4">
        <v>3513</v>
      </c>
      <c r="I31" s="4">
        <v>2740</v>
      </c>
    </row>
    <row r="32" spans="1:9" x14ac:dyDescent="0.4">
      <c r="A32" s="4" t="s">
        <v>37</v>
      </c>
      <c r="B32" s="5">
        <v>43112</v>
      </c>
      <c r="C32" s="4" t="s">
        <v>38</v>
      </c>
      <c r="D32" s="4" t="s">
        <v>39</v>
      </c>
      <c r="E32" s="4" t="s">
        <v>40</v>
      </c>
      <c r="F32" s="4" t="s">
        <v>41</v>
      </c>
      <c r="G32" s="4" t="s">
        <v>42</v>
      </c>
      <c r="H32" s="4">
        <v>2247</v>
      </c>
      <c r="I32" s="4">
        <v>1775</v>
      </c>
    </row>
    <row r="33" spans="1:9" x14ac:dyDescent="0.4">
      <c r="A33" s="4" t="s">
        <v>43</v>
      </c>
      <c r="B33" s="5">
        <v>43113</v>
      </c>
      <c r="C33" s="4" t="s">
        <v>44</v>
      </c>
      <c r="D33" s="4" t="s">
        <v>33</v>
      </c>
      <c r="E33" s="4" t="s">
        <v>45</v>
      </c>
      <c r="F33" s="4" t="s">
        <v>46</v>
      </c>
      <c r="G33" s="4" t="s">
        <v>36</v>
      </c>
      <c r="H33" s="4">
        <v>2878</v>
      </c>
      <c r="I33" s="4">
        <v>1784</v>
      </c>
    </row>
    <row r="34" spans="1:9" x14ac:dyDescent="0.4">
      <c r="A34" s="4" t="s">
        <v>47</v>
      </c>
      <c r="B34" s="5">
        <v>43113</v>
      </c>
      <c r="C34" s="4" t="s">
        <v>48</v>
      </c>
      <c r="D34" s="4" t="s">
        <v>49</v>
      </c>
      <c r="E34" s="4" t="s">
        <v>50</v>
      </c>
      <c r="F34" s="4" t="s">
        <v>51</v>
      </c>
      <c r="G34" s="4" t="s">
        <v>42</v>
      </c>
      <c r="H34" s="4">
        <v>3425</v>
      </c>
      <c r="I34" s="4">
        <v>2706</v>
      </c>
    </row>
    <row r="35" spans="1:9" x14ac:dyDescent="0.4">
      <c r="A35" s="4" t="s">
        <v>52</v>
      </c>
      <c r="B35" s="5">
        <v>43113</v>
      </c>
      <c r="C35" s="4" t="s">
        <v>53</v>
      </c>
      <c r="D35" s="4" t="s">
        <v>49</v>
      </c>
      <c r="E35" s="4" t="s">
        <v>54</v>
      </c>
      <c r="F35" s="4" t="s">
        <v>55</v>
      </c>
      <c r="G35" s="4" t="s">
        <v>42</v>
      </c>
      <c r="H35" s="4">
        <v>2865</v>
      </c>
      <c r="I35" s="4">
        <v>2091</v>
      </c>
    </row>
    <row r="36" spans="1:9" x14ac:dyDescent="0.4">
      <c r="A36" s="4" t="s">
        <v>56</v>
      </c>
      <c r="B36" s="5">
        <v>43114</v>
      </c>
      <c r="C36" s="4" t="s">
        <v>57</v>
      </c>
      <c r="D36" s="4" t="s">
        <v>49</v>
      </c>
      <c r="E36" s="4" t="s">
        <v>54</v>
      </c>
      <c r="F36" s="4" t="s">
        <v>55</v>
      </c>
      <c r="G36" s="4" t="s">
        <v>42</v>
      </c>
      <c r="H36" s="4">
        <v>2393</v>
      </c>
      <c r="I36" s="4">
        <v>1723</v>
      </c>
    </row>
    <row r="37" spans="1:9" x14ac:dyDescent="0.4">
      <c r="A37" s="4" t="s">
        <v>58</v>
      </c>
      <c r="B37" s="5">
        <v>43114</v>
      </c>
      <c r="C37" s="4" t="s">
        <v>59</v>
      </c>
      <c r="D37" s="4" t="s">
        <v>60</v>
      </c>
      <c r="E37" s="4" t="s">
        <v>61</v>
      </c>
      <c r="F37" s="4" t="s">
        <v>62</v>
      </c>
      <c r="G37" s="4" t="s">
        <v>13</v>
      </c>
      <c r="H37" s="4">
        <v>3149</v>
      </c>
      <c r="I37" s="4">
        <v>2299</v>
      </c>
    </row>
    <row r="38" spans="1:9" x14ac:dyDescent="0.4">
      <c r="A38" s="4" t="s">
        <v>63</v>
      </c>
      <c r="B38" s="5">
        <v>43114</v>
      </c>
      <c r="C38" s="4" t="s">
        <v>64</v>
      </c>
      <c r="D38" s="4" t="s">
        <v>20</v>
      </c>
      <c r="E38" s="4" t="s">
        <v>65</v>
      </c>
      <c r="F38" s="4" t="s">
        <v>66</v>
      </c>
      <c r="G38" s="4" t="s">
        <v>13</v>
      </c>
      <c r="H38" s="4">
        <v>3277</v>
      </c>
      <c r="I38" s="4">
        <v>2130</v>
      </c>
    </row>
    <row r="39" spans="1:9" x14ac:dyDescent="0.4">
      <c r="A39" s="4" t="s">
        <v>67</v>
      </c>
      <c r="B39" s="5">
        <v>43114</v>
      </c>
      <c r="C39" s="4" t="s">
        <v>68</v>
      </c>
      <c r="D39" s="4" t="s">
        <v>69</v>
      </c>
      <c r="E39" s="4" t="s">
        <v>70</v>
      </c>
      <c r="F39" s="4" t="s">
        <v>71</v>
      </c>
      <c r="G39" s="4" t="s">
        <v>13</v>
      </c>
      <c r="H39" s="4">
        <v>2713</v>
      </c>
      <c r="I39" s="4">
        <v>1682</v>
      </c>
    </row>
    <row r="40" spans="1:9" x14ac:dyDescent="0.4">
      <c r="A40" s="4" t="s">
        <v>72</v>
      </c>
      <c r="B40" s="5">
        <v>43115</v>
      </c>
      <c r="C40" s="4" t="s">
        <v>73</v>
      </c>
      <c r="D40" s="4" t="s">
        <v>69</v>
      </c>
      <c r="E40" s="4" t="s">
        <v>70</v>
      </c>
      <c r="F40" s="4" t="s">
        <v>71</v>
      </c>
      <c r="G40" s="4" t="s">
        <v>13</v>
      </c>
      <c r="H40" s="4">
        <v>3381</v>
      </c>
      <c r="I40" s="4">
        <v>2231</v>
      </c>
    </row>
    <row r="41" spans="1:9" x14ac:dyDescent="0.4">
      <c r="A41" s="4" t="s">
        <v>74</v>
      </c>
      <c r="B41" s="5">
        <v>43115</v>
      </c>
      <c r="C41" s="4" t="s">
        <v>75</v>
      </c>
      <c r="D41" s="4" t="s">
        <v>49</v>
      </c>
      <c r="E41" s="4" t="s">
        <v>50</v>
      </c>
      <c r="F41" s="4" t="s">
        <v>76</v>
      </c>
      <c r="G41" s="4" t="s">
        <v>42</v>
      </c>
      <c r="H41" s="4">
        <v>2545</v>
      </c>
      <c r="I41" s="4">
        <v>2011</v>
      </c>
    </row>
    <row r="42" spans="1:9" x14ac:dyDescent="0.4">
      <c r="A42" s="4" t="s">
        <v>77</v>
      </c>
      <c r="B42" s="5">
        <v>43115</v>
      </c>
      <c r="C42" s="4" t="s">
        <v>78</v>
      </c>
      <c r="D42" s="4" t="s">
        <v>49</v>
      </c>
      <c r="E42" s="4" t="s">
        <v>50</v>
      </c>
      <c r="F42" s="4" t="s">
        <v>76</v>
      </c>
      <c r="G42" s="4" t="s">
        <v>42</v>
      </c>
      <c r="H42" s="4">
        <v>4473</v>
      </c>
      <c r="I42" s="4">
        <v>2729</v>
      </c>
    </row>
    <row r="43" spans="1:9" x14ac:dyDescent="0.4">
      <c r="A43" s="4" t="s">
        <v>79</v>
      </c>
      <c r="B43" s="5">
        <v>43115</v>
      </c>
      <c r="C43" s="4" t="s">
        <v>80</v>
      </c>
      <c r="D43" s="4" t="s">
        <v>49</v>
      </c>
      <c r="E43" s="4" t="s">
        <v>50</v>
      </c>
      <c r="F43" s="4" t="s">
        <v>76</v>
      </c>
      <c r="G43" s="4" t="s">
        <v>42</v>
      </c>
      <c r="H43" s="4">
        <v>3332</v>
      </c>
      <c r="I43" s="4">
        <v>2132</v>
      </c>
    </row>
    <row r="44" spans="1:9" x14ac:dyDescent="0.4">
      <c r="A44" s="4" t="s">
        <v>9</v>
      </c>
      <c r="B44" s="5">
        <v>43116</v>
      </c>
      <c r="C44" s="4" t="s">
        <v>10</v>
      </c>
      <c r="D44" s="4" t="s">
        <v>11</v>
      </c>
      <c r="E44" s="4" t="s">
        <v>12</v>
      </c>
      <c r="F44" s="4" t="s">
        <v>12</v>
      </c>
      <c r="G44" s="4" t="s">
        <v>13</v>
      </c>
      <c r="H44" s="4">
        <v>2283</v>
      </c>
      <c r="I44" s="4">
        <v>1438</v>
      </c>
    </row>
    <row r="45" spans="1:9" x14ac:dyDescent="0.4">
      <c r="A45" s="4" t="s">
        <v>14</v>
      </c>
      <c r="B45" s="5">
        <v>43116</v>
      </c>
      <c r="C45" s="4" t="s">
        <v>15</v>
      </c>
      <c r="D45" s="4" t="s">
        <v>11</v>
      </c>
      <c r="E45" s="4" t="s">
        <v>12</v>
      </c>
      <c r="F45" s="4" t="s">
        <v>12</v>
      </c>
      <c r="G45" s="4" t="s">
        <v>13</v>
      </c>
      <c r="H45" s="4">
        <v>2696</v>
      </c>
      <c r="I45" s="4">
        <v>1833</v>
      </c>
    </row>
    <row r="46" spans="1:9" x14ac:dyDescent="0.4">
      <c r="A46" s="4" t="s">
        <v>16</v>
      </c>
      <c r="B46" s="5">
        <v>43116</v>
      </c>
      <c r="C46" s="4" t="s">
        <v>17</v>
      </c>
      <c r="D46" s="4" t="s">
        <v>11</v>
      </c>
      <c r="E46" s="4" t="s">
        <v>12</v>
      </c>
      <c r="F46" s="4" t="s">
        <v>12</v>
      </c>
      <c r="G46" s="4" t="s">
        <v>13</v>
      </c>
      <c r="H46" s="4">
        <v>4061</v>
      </c>
      <c r="I46" s="4">
        <v>3127</v>
      </c>
    </row>
    <row r="47" spans="1:9" x14ac:dyDescent="0.4">
      <c r="A47" s="4" t="s">
        <v>18</v>
      </c>
      <c r="B47" s="5">
        <v>43116</v>
      </c>
      <c r="C47" s="4" t="s">
        <v>19</v>
      </c>
      <c r="D47" s="4" t="s">
        <v>20</v>
      </c>
      <c r="E47" s="4" t="s">
        <v>21</v>
      </c>
      <c r="F47" s="4" t="s">
        <v>22</v>
      </c>
      <c r="G47" s="4" t="s">
        <v>13</v>
      </c>
      <c r="H47" s="4">
        <v>2382</v>
      </c>
      <c r="I47" s="4">
        <v>1548</v>
      </c>
    </row>
    <row r="48" spans="1:9" x14ac:dyDescent="0.4">
      <c r="A48" s="4" t="s">
        <v>23</v>
      </c>
      <c r="B48" s="5">
        <v>43116</v>
      </c>
      <c r="C48" s="4" t="s">
        <v>24</v>
      </c>
      <c r="D48" s="4" t="s">
        <v>20</v>
      </c>
      <c r="E48" s="4" t="s">
        <v>21</v>
      </c>
      <c r="F48" s="4" t="s">
        <v>22</v>
      </c>
      <c r="G48" s="4" t="s">
        <v>13</v>
      </c>
      <c r="H48" s="4">
        <v>4336</v>
      </c>
      <c r="I48" s="4">
        <v>2602</v>
      </c>
    </row>
    <row r="49" spans="1:9" x14ac:dyDescent="0.4">
      <c r="A49" s="4" t="s">
        <v>25</v>
      </c>
      <c r="B49" s="5">
        <v>43116</v>
      </c>
      <c r="C49" s="4" t="s">
        <v>26</v>
      </c>
      <c r="D49" s="4" t="s">
        <v>20</v>
      </c>
      <c r="E49" s="4" t="s">
        <v>21</v>
      </c>
      <c r="F49" s="4" t="s">
        <v>22</v>
      </c>
      <c r="G49" s="4" t="s">
        <v>13</v>
      </c>
      <c r="H49" s="4">
        <v>2602</v>
      </c>
      <c r="I49" s="4">
        <v>2004</v>
      </c>
    </row>
    <row r="50" spans="1:9" x14ac:dyDescent="0.4">
      <c r="A50" s="4" t="s">
        <v>27</v>
      </c>
      <c r="B50" s="5">
        <v>43117</v>
      </c>
      <c r="C50" s="4" t="s">
        <v>28</v>
      </c>
      <c r="D50" s="4" t="s">
        <v>20</v>
      </c>
      <c r="E50" s="4" t="s">
        <v>21</v>
      </c>
      <c r="F50" s="4" t="s">
        <v>22</v>
      </c>
      <c r="G50" s="4" t="s">
        <v>13</v>
      </c>
      <c r="H50" s="4">
        <v>3094</v>
      </c>
      <c r="I50" s="4">
        <v>2073</v>
      </c>
    </row>
    <row r="51" spans="1:9" x14ac:dyDescent="0.4">
      <c r="A51" s="4" t="s">
        <v>29</v>
      </c>
      <c r="B51" s="5">
        <v>43117</v>
      </c>
      <c r="C51" s="4" t="s">
        <v>30</v>
      </c>
      <c r="D51" s="4" t="s">
        <v>20</v>
      </c>
      <c r="E51" s="4" t="s">
        <v>21</v>
      </c>
      <c r="F51" s="4" t="s">
        <v>22</v>
      </c>
      <c r="G51" s="4" t="s">
        <v>13</v>
      </c>
      <c r="H51" s="4">
        <v>3510</v>
      </c>
      <c r="I51" s="4">
        <v>2141</v>
      </c>
    </row>
    <row r="52" spans="1:9" x14ac:dyDescent="0.4">
      <c r="A52" s="4" t="s">
        <v>31</v>
      </c>
      <c r="B52" s="5">
        <v>43117</v>
      </c>
      <c r="C52" s="4" t="s">
        <v>32</v>
      </c>
      <c r="D52" s="4" t="s">
        <v>33</v>
      </c>
      <c r="E52" s="4" t="s">
        <v>34</v>
      </c>
      <c r="F52" s="4" t="s">
        <v>35</v>
      </c>
      <c r="G52" s="4" t="s">
        <v>36</v>
      </c>
      <c r="H52" s="4">
        <v>2134</v>
      </c>
      <c r="I52" s="4">
        <v>1536</v>
      </c>
    </row>
    <row r="53" spans="1:9" x14ac:dyDescent="0.4">
      <c r="A53" s="4" t="s">
        <v>37</v>
      </c>
      <c r="B53" s="5">
        <v>43117</v>
      </c>
      <c r="C53" s="4" t="s">
        <v>38</v>
      </c>
      <c r="D53" s="4" t="s">
        <v>39</v>
      </c>
      <c r="E53" s="4" t="s">
        <v>40</v>
      </c>
      <c r="F53" s="4" t="s">
        <v>41</v>
      </c>
      <c r="G53" s="4" t="s">
        <v>42</v>
      </c>
      <c r="H53" s="4">
        <v>2661</v>
      </c>
      <c r="I53" s="4">
        <v>2022</v>
      </c>
    </row>
    <row r="54" spans="1:9" x14ac:dyDescent="0.4">
      <c r="A54" s="4" t="s">
        <v>43</v>
      </c>
      <c r="B54" s="5">
        <v>43117</v>
      </c>
      <c r="C54" s="4" t="s">
        <v>44</v>
      </c>
      <c r="D54" s="4" t="s">
        <v>33</v>
      </c>
      <c r="E54" s="4" t="s">
        <v>45</v>
      </c>
      <c r="F54" s="4" t="s">
        <v>46</v>
      </c>
      <c r="G54" s="4" t="s">
        <v>36</v>
      </c>
      <c r="H54" s="4">
        <v>2901</v>
      </c>
      <c r="I54" s="4">
        <v>1741</v>
      </c>
    </row>
    <row r="55" spans="1:9" x14ac:dyDescent="0.4">
      <c r="A55" s="4" t="s">
        <v>47</v>
      </c>
      <c r="B55" s="5">
        <v>43117</v>
      </c>
      <c r="C55" s="4" t="s">
        <v>48</v>
      </c>
      <c r="D55" s="4" t="s">
        <v>49</v>
      </c>
      <c r="E55" s="4" t="s">
        <v>50</v>
      </c>
      <c r="F55" s="4" t="s">
        <v>51</v>
      </c>
      <c r="G55" s="4" t="s">
        <v>42</v>
      </c>
      <c r="H55" s="4">
        <v>3784</v>
      </c>
      <c r="I55" s="4">
        <v>2384</v>
      </c>
    </row>
    <row r="56" spans="1:9" x14ac:dyDescent="0.4">
      <c r="A56" s="4" t="s">
        <v>52</v>
      </c>
      <c r="B56" s="5">
        <v>43118</v>
      </c>
      <c r="C56" s="4" t="s">
        <v>53</v>
      </c>
      <c r="D56" s="4" t="s">
        <v>49</v>
      </c>
      <c r="E56" s="4" t="s">
        <v>54</v>
      </c>
      <c r="F56" s="4" t="s">
        <v>55</v>
      </c>
      <c r="G56" s="4" t="s">
        <v>42</v>
      </c>
      <c r="H56" s="4">
        <v>3135</v>
      </c>
      <c r="I56" s="4">
        <v>2445</v>
      </c>
    </row>
    <row r="57" spans="1:9" x14ac:dyDescent="0.4">
      <c r="A57" s="4" t="s">
        <v>56</v>
      </c>
      <c r="B57" s="5">
        <v>43118</v>
      </c>
      <c r="C57" s="4" t="s">
        <v>57</v>
      </c>
      <c r="D57" s="4" t="s">
        <v>49</v>
      </c>
      <c r="E57" s="4" t="s">
        <v>54</v>
      </c>
      <c r="F57" s="4" t="s">
        <v>55</v>
      </c>
      <c r="G57" s="4" t="s">
        <v>42</v>
      </c>
      <c r="H57" s="4">
        <v>2802</v>
      </c>
      <c r="I57" s="4">
        <v>1877</v>
      </c>
    </row>
    <row r="58" spans="1:9" x14ac:dyDescent="0.4">
      <c r="A58" s="4" t="s">
        <v>58</v>
      </c>
      <c r="B58" s="5">
        <v>43118</v>
      </c>
      <c r="C58" s="4" t="s">
        <v>59</v>
      </c>
      <c r="D58" s="4" t="s">
        <v>60</v>
      </c>
      <c r="E58" s="4" t="s">
        <v>61</v>
      </c>
      <c r="F58" s="4" t="s">
        <v>62</v>
      </c>
      <c r="G58" s="4" t="s">
        <v>13</v>
      </c>
      <c r="H58" s="4">
        <v>3486</v>
      </c>
      <c r="I58" s="4">
        <v>2789</v>
      </c>
    </row>
    <row r="59" spans="1:9" x14ac:dyDescent="0.4">
      <c r="A59" s="4" t="s">
        <v>63</v>
      </c>
      <c r="B59" s="5">
        <v>43118</v>
      </c>
      <c r="C59" s="4" t="s">
        <v>64</v>
      </c>
      <c r="D59" s="4" t="s">
        <v>20</v>
      </c>
      <c r="E59" s="4" t="s">
        <v>65</v>
      </c>
      <c r="F59" s="4" t="s">
        <v>66</v>
      </c>
      <c r="G59" s="4" t="s">
        <v>13</v>
      </c>
      <c r="H59" s="4">
        <v>3422</v>
      </c>
      <c r="I59" s="4">
        <v>2122</v>
      </c>
    </row>
    <row r="60" spans="1:9" x14ac:dyDescent="0.4">
      <c r="A60" s="4" t="s">
        <v>67</v>
      </c>
      <c r="B60" s="5">
        <v>43118</v>
      </c>
      <c r="C60" s="4" t="s">
        <v>68</v>
      </c>
      <c r="D60" s="4" t="s">
        <v>69</v>
      </c>
      <c r="E60" s="4" t="s">
        <v>70</v>
      </c>
      <c r="F60" s="4" t="s">
        <v>71</v>
      </c>
      <c r="G60" s="4" t="s">
        <v>13</v>
      </c>
      <c r="H60" s="4">
        <v>2842</v>
      </c>
      <c r="I60" s="4">
        <v>2188</v>
      </c>
    </row>
    <row r="61" spans="1:9" x14ac:dyDescent="0.4">
      <c r="A61" s="4" t="s">
        <v>72</v>
      </c>
      <c r="B61" s="5">
        <v>43119</v>
      </c>
      <c r="C61" s="4" t="s">
        <v>73</v>
      </c>
      <c r="D61" s="4" t="s">
        <v>69</v>
      </c>
      <c r="E61" s="4" t="s">
        <v>70</v>
      </c>
      <c r="F61" s="4" t="s">
        <v>71</v>
      </c>
      <c r="G61" s="4" t="s">
        <v>13</v>
      </c>
      <c r="H61" s="4">
        <v>3846</v>
      </c>
      <c r="I61" s="4">
        <v>2500</v>
      </c>
    </row>
    <row r="62" spans="1:9" x14ac:dyDescent="0.4">
      <c r="A62" s="4" t="s">
        <v>74</v>
      </c>
      <c r="B62" s="5">
        <v>43119</v>
      </c>
      <c r="C62" s="4" t="s">
        <v>75</v>
      </c>
      <c r="D62" s="4" t="s">
        <v>49</v>
      </c>
      <c r="E62" s="4" t="s">
        <v>50</v>
      </c>
      <c r="F62" s="4" t="s">
        <v>76</v>
      </c>
      <c r="G62" s="4" t="s">
        <v>42</v>
      </c>
      <c r="H62" s="4">
        <v>3131</v>
      </c>
      <c r="I62" s="4">
        <v>2380</v>
      </c>
    </row>
    <row r="63" spans="1:9" x14ac:dyDescent="0.4">
      <c r="A63" s="4" t="s">
        <v>77</v>
      </c>
      <c r="B63" s="5">
        <v>43120</v>
      </c>
      <c r="C63" s="4" t="s">
        <v>78</v>
      </c>
      <c r="D63" s="4" t="s">
        <v>49</v>
      </c>
      <c r="E63" s="4" t="s">
        <v>50</v>
      </c>
      <c r="F63" s="4" t="s">
        <v>76</v>
      </c>
      <c r="G63" s="4" t="s">
        <v>42</v>
      </c>
      <c r="H63" s="4">
        <v>3825</v>
      </c>
      <c r="I63" s="4">
        <v>2333</v>
      </c>
    </row>
    <row r="64" spans="1:9" x14ac:dyDescent="0.4">
      <c r="A64" s="4" t="s">
        <v>79</v>
      </c>
      <c r="B64" s="5">
        <v>43120</v>
      </c>
      <c r="C64" s="4" t="s">
        <v>80</v>
      </c>
      <c r="D64" s="4" t="s">
        <v>49</v>
      </c>
      <c r="E64" s="4" t="s">
        <v>50</v>
      </c>
      <c r="F64" s="4" t="s">
        <v>76</v>
      </c>
      <c r="G64" s="4" t="s">
        <v>42</v>
      </c>
      <c r="H64" s="4">
        <v>4362</v>
      </c>
      <c r="I64" s="4">
        <v>3446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5DA4C-AF5E-4B5C-A717-81028BCAEE75}">
  <sheetPr codeName="Sheet7"/>
  <dimension ref="A1:G150"/>
  <sheetViews>
    <sheetView workbookViewId="0">
      <selection activeCell="H1" sqref="H1"/>
    </sheetView>
  </sheetViews>
  <sheetFormatPr defaultRowHeight="14.5" x14ac:dyDescent="0.35"/>
  <cols>
    <col min="1" max="1" width="30.6328125" customWidth="1"/>
    <col min="2" max="2" width="17.7265625" customWidth="1"/>
    <col min="3" max="3" width="17.6328125" customWidth="1"/>
    <col min="4" max="4" width="16.36328125" customWidth="1"/>
    <col min="5" max="5" width="13.54296875" customWidth="1"/>
    <col min="6" max="6" width="12" customWidth="1"/>
    <col min="7" max="7" width="13.453125" customWidth="1"/>
  </cols>
  <sheetData>
    <row r="1" spans="1:7" ht="37.5" customHeight="1" x14ac:dyDescent="0.35">
      <c r="A1" s="16" t="str">
        <f>[2]Break!A1</f>
        <v>Employee</v>
      </c>
      <c r="B1" s="17" t="s">
        <v>429</v>
      </c>
      <c r="C1" s="18" t="s">
        <v>430</v>
      </c>
      <c r="D1" s="19" t="s">
        <v>431</v>
      </c>
      <c r="E1" s="19" t="s">
        <v>432</v>
      </c>
      <c r="F1" s="19" t="s">
        <v>433</v>
      </c>
      <c r="G1" s="19" t="s">
        <v>434</v>
      </c>
    </row>
    <row r="2" spans="1:7" ht="15.5" x14ac:dyDescent="0.35">
      <c r="A2" s="20" t="str">
        <f>[1]Break!A2</f>
        <v>Mum_Abdul Hamid (1008512)</v>
      </c>
      <c r="B2" s="20" t="str">
        <f>MID(A2,FIND("_",A2,1)+1,FIND("(",A2,1)-FIND("_",A2,1)-2)</f>
        <v>Abdul Hamid</v>
      </c>
      <c r="C2" s="21">
        <f t="shared" ref="C2:C33" si="0">TIMEVALUE(VLOOKUP(A2,EData,2,0))</f>
        <v>0.34424768518518517</v>
      </c>
      <c r="D2" s="21">
        <f t="shared" ref="D2:D33" si="1">TIMEVALUE(VLOOKUP(A2,EData,3,0))</f>
        <v>0.20693287037037036</v>
      </c>
      <c r="E2" s="21">
        <f t="shared" ref="E2:E33" si="2">TIMEVALUE(VLOOKUP(A2,BData,9,0))</f>
        <v>4.7708333333333332E-2</v>
      </c>
      <c r="F2" s="20">
        <f t="shared" ref="F2:F33" si="3">VLOOKUP(A2,PData,2,0)</f>
        <v>98</v>
      </c>
      <c r="G2" s="22">
        <f t="shared" ref="G2:G33" si="4">VLOOKUP(A2,EData,6,0)</f>
        <v>0.55697138822580095</v>
      </c>
    </row>
    <row r="3" spans="1:7" ht="15.5" x14ac:dyDescent="0.35">
      <c r="A3" s="20" t="str">
        <f>[1]Break!A3</f>
        <v>Mum_Afzal Husain (1008513)</v>
      </c>
      <c r="B3" s="20" t="str">
        <f t="shared" ref="B3:B66" si="5">MID(A3,FIND("_",A3,1)+1,FIND("(",A3,1)-FIND("_",A3,1)-2)</f>
        <v>Afzal Husain</v>
      </c>
      <c r="C3" s="21">
        <f t="shared" si="0"/>
        <v>0.34416666666666668</v>
      </c>
      <c r="D3" s="21">
        <f t="shared" si="1"/>
        <v>0.20733796296296297</v>
      </c>
      <c r="E3" s="21">
        <f t="shared" si="2"/>
        <v>4.8599537037037038E-2</v>
      </c>
      <c r="F3" s="20">
        <f t="shared" si="3"/>
        <v>23</v>
      </c>
      <c r="G3" s="22">
        <f t="shared" si="4"/>
        <v>0.58027306967984904</v>
      </c>
    </row>
    <row r="4" spans="1:7" ht="15.5" x14ac:dyDescent="0.35">
      <c r="A4" s="20" t="str">
        <f>[1]Break!A4</f>
        <v>Mum_Anamika Gupta (1008514)</v>
      </c>
      <c r="B4" s="20" t="str">
        <f t="shared" si="5"/>
        <v>Anamika Gupta</v>
      </c>
      <c r="C4" s="21">
        <f t="shared" si="0"/>
        <v>0.34510416666666666</v>
      </c>
      <c r="D4" s="21">
        <f t="shared" si="1"/>
        <v>0.20109953703703703</v>
      </c>
      <c r="E4" s="21">
        <f t="shared" si="2"/>
        <v>5.1319444444444445E-2</v>
      </c>
      <c r="F4" s="20">
        <f t="shared" si="3"/>
        <v>28</v>
      </c>
      <c r="G4" s="22">
        <f t="shared" si="4"/>
        <v>0.51708756749505302</v>
      </c>
    </row>
    <row r="5" spans="1:7" ht="15.5" x14ac:dyDescent="0.35">
      <c r="A5" s="20" t="str">
        <f>[1]Break!A5</f>
        <v>Mum_Anikuttan (1008515)</v>
      </c>
      <c r="B5" s="20" t="str">
        <f t="shared" si="5"/>
        <v>Anikuttan</v>
      </c>
      <c r="C5" s="21">
        <f t="shared" si="0"/>
        <v>0.34023148148148147</v>
      </c>
      <c r="D5" s="21">
        <f t="shared" si="1"/>
        <v>0.17884259259259258</v>
      </c>
      <c r="E5" s="21">
        <f t="shared" si="2"/>
        <v>9.6550925925925929E-2</v>
      </c>
      <c r="F5" s="20">
        <f t="shared" si="3"/>
        <v>29</v>
      </c>
      <c r="G5" s="22">
        <f t="shared" si="4"/>
        <v>0.47720778337188702</v>
      </c>
    </row>
    <row r="6" spans="1:7" ht="15.5" x14ac:dyDescent="0.35">
      <c r="A6" s="20" t="str">
        <f>[1]Break!A6</f>
        <v>Mum_Anil Kumar (1008516)</v>
      </c>
      <c r="B6" s="20" t="str">
        <f t="shared" si="5"/>
        <v>Anil Kumar</v>
      </c>
      <c r="C6" s="21">
        <f t="shared" si="0"/>
        <v>0.30603009259259262</v>
      </c>
      <c r="D6" s="21">
        <f t="shared" si="1"/>
        <v>0.13870370370370369</v>
      </c>
      <c r="E6" s="21">
        <f t="shared" si="2"/>
        <v>0.12844907407407408</v>
      </c>
      <c r="F6" s="20">
        <f t="shared" si="3"/>
        <v>93</v>
      </c>
      <c r="G6" s="22">
        <f t="shared" si="4"/>
        <v>0.43288831738587802</v>
      </c>
    </row>
    <row r="7" spans="1:7" ht="15.5" x14ac:dyDescent="0.35">
      <c r="A7" s="20" t="str">
        <f>[1]Break!A7</f>
        <v>Mum_Anita Dixit (1008517)</v>
      </c>
      <c r="B7" s="20" t="str">
        <f t="shared" si="5"/>
        <v>Anita Dixit</v>
      </c>
      <c r="C7" s="21">
        <f t="shared" si="0"/>
        <v>0.2084375</v>
      </c>
      <c r="D7" s="21">
        <f t="shared" si="1"/>
        <v>0.15369212962962964</v>
      </c>
      <c r="E7" s="21">
        <f t="shared" si="2"/>
        <v>1.8831018518518518E-2</v>
      </c>
      <c r="F7" s="20">
        <f t="shared" si="3"/>
        <v>92</v>
      </c>
      <c r="G7" s="22">
        <f t="shared" si="4"/>
        <v>0.65495030262646503</v>
      </c>
    </row>
    <row r="8" spans="1:7" ht="15.5" x14ac:dyDescent="0.35">
      <c r="A8" s="20" t="str">
        <f>[1]Break!A8</f>
        <v>Mum_Anita Ghore (1008518)</v>
      </c>
      <c r="B8" s="20" t="str">
        <f t="shared" si="5"/>
        <v>Anita Ghore</v>
      </c>
      <c r="C8" s="21">
        <f t="shared" si="0"/>
        <v>0.34488425925925925</v>
      </c>
      <c r="D8" s="21">
        <f t="shared" si="1"/>
        <v>0.17553240740740741</v>
      </c>
      <c r="E8" s="21">
        <f t="shared" si="2"/>
        <v>0.11229166666666666</v>
      </c>
      <c r="F8" s="20">
        <f t="shared" si="3"/>
        <v>26</v>
      </c>
      <c r="G8" s="22">
        <f t="shared" si="4"/>
        <v>0.49476474931203401</v>
      </c>
    </row>
    <row r="9" spans="1:7" ht="15.5" x14ac:dyDescent="0.35">
      <c r="A9" s="20" t="str">
        <f>[1]Break!A9</f>
        <v>Mum_Anjali Deoram (1008519)</v>
      </c>
      <c r="B9" s="20" t="str">
        <f t="shared" si="5"/>
        <v>Anjali Deoram</v>
      </c>
      <c r="C9" s="21">
        <f t="shared" si="0"/>
        <v>0.38646990740740739</v>
      </c>
      <c r="D9" s="21">
        <f t="shared" si="1"/>
        <v>0.24453703703703702</v>
      </c>
      <c r="E9" s="21">
        <f t="shared" si="2"/>
        <v>5.0810185185185187E-2</v>
      </c>
      <c r="F9" s="20">
        <f t="shared" si="3"/>
        <v>90</v>
      </c>
      <c r="G9" s="22">
        <f t="shared" si="4"/>
        <v>0.55128627474469205</v>
      </c>
    </row>
    <row r="10" spans="1:7" ht="15.5" x14ac:dyDescent="0.35">
      <c r="A10" s="20" t="str">
        <f>[1]Break!A10</f>
        <v>Mum_Anjali Sahay (1008520)</v>
      </c>
      <c r="B10" s="20" t="str">
        <f t="shared" si="5"/>
        <v>Anjali Sahay</v>
      </c>
      <c r="C10" s="21">
        <f t="shared" si="0"/>
        <v>0.34256944444444443</v>
      </c>
      <c r="D10" s="21">
        <f t="shared" si="1"/>
        <v>0.20311342592592593</v>
      </c>
      <c r="E10" s="21">
        <f t="shared" si="2"/>
        <v>4.628472222222222E-2</v>
      </c>
      <c r="F10" s="20">
        <f t="shared" si="3"/>
        <v>89</v>
      </c>
      <c r="G10" s="22">
        <f t="shared" si="4"/>
        <v>0.55206432867085597</v>
      </c>
    </row>
    <row r="11" spans="1:7" ht="15.5" x14ac:dyDescent="0.35">
      <c r="A11" s="20" t="str">
        <f>[1]Break!A11</f>
        <v>Mum_Annu Latika (1008521)</v>
      </c>
      <c r="B11" s="20" t="str">
        <f t="shared" si="5"/>
        <v>Annu Latika</v>
      </c>
      <c r="C11" s="21">
        <f t="shared" si="0"/>
        <v>0.34769675925925925</v>
      </c>
      <c r="D11" s="21">
        <f t="shared" si="1"/>
        <v>0.20702546296296295</v>
      </c>
      <c r="E11" s="21">
        <f t="shared" si="2"/>
        <v>4.8576388888888891E-2</v>
      </c>
      <c r="F11" s="20">
        <f t="shared" si="3"/>
        <v>54</v>
      </c>
      <c r="G11" s="22">
        <f t="shared" si="4"/>
        <v>0.56868945774108703</v>
      </c>
    </row>
    <row r="12" spans="1:7" ht="15.5" x14ac:dyDescent="0.35">
      <c r="A12" s="20" t="str">
        <f>[1]Break!A12</f>
        <v>Mum_Anoop Narayan (1008522)</v>
      </c>
      <c r="B12" s="20" t="str">
        <f t="shared" si="5"/>
        <v>Anoop Narayan</v>
      </c>
      <c r="C12" s="21">
        <f t="shared" si="0"/>
        <v>0.34068287037037037</v>
      </c>
      <c r="D12" s="21">
        <f t="shared" si="1"/>
        <v>0.20518518518518519</v>
      </c>
      <c r="E12" s="21">
        <f t="shared" si="2"/>
        <v>4.809027777777778E-2</v>
      </c>
      <c r="F12" s="20">
        <f t="shared" si="3"/>
        <v>87</v>
      </c>
      <c r="G12" s="22">
        <f t="shared" si="4"/>
        <v>0.56035332087650802</v>
      </c>
    </row>
    <row r="13" spans="1:7" ht="15.5" x14ac:dyDescent="0.35">
      <c r="A13" s="20" t="str">
        <f>[1]Break!A13</f>
        <v>Mum_Anoop Raj (1008523)</v>
      </c>
      <c r="B13" s="20" t="str">
        <f t="shared" si="5"/>
        <v>Anoop Raj</v>
      </c>
      <c r="C13" s="21">
        <f t="shared" si="0"/>
        <v>0.33622685185185186</v>
      </c>
      <c r="D13" s="21">
        <f t="shared" si="1"/>
        <v>0.15812499999999999</v>
      </c>
      <c r="E13" s="21">
        <f t="shared" si="2"/>
        <v>0.12590277777777778</v>
      </c>
      <c r="F13" s="20">
        <f t="shared" si="3"/>
        <v>65</v>
      </c>
      <c r="G13" s="22">
        <f t="shared" si="4"/>
        <v>0.41552495697073999</v>
      </c>
    </row>
    <row r="14" spans="1:7" ht="15.5" x14ac:dyDescent="0.35">
      <c r="A14" s="20" t="str">
        <f>[1]Break!A14</f>
        <v>Mum_Anubhuti Gupta (1008524)</v>
      </c>
      <c r="B14" s="20" t="str">
        <f t="shared" si="5"/>
        <v>Anubhuti Gupta</v>
      </c>
      <c r="C14" s="21">
        <f t="shared" si="0"/>
        <v>0.34349537037037037</v>
      </c>
      <c r="D14" s="21">
        <f t="shared" si="1"/>
        <v>0.19699074074074074</v>
      </c>
      <c r="E14" s="21">
        <f t="shared" si="2"/>
        <v>8.7974537037037032E-2</v>
      </c>
      <c r="F14" s="20">
        <f t="shared" si="3"/>
        <v>85</v>
      </c>
      <c r="G14" s="22">
        <f t="shared" si="4"/>
        <v>0.50026955994339195</v>
      </c>
    </row>
    <row r="15" spans="1:7" ht="15.5" x14ac:dyDescent="0.35">
      <c r="A15" s="20" t="str">
        <f>[1]Break!A15</f>
        <v>Mum_Arun Kumar (1008525)</v>
      </c>
      <c r="B15" s="20" t="str">
        <f t="shared" si="5"/>
        <v>Arun Kumar</v>
      </c>
      <c r="C15" s="21">
        <f t="shared" si="0"/>
        <v>0.33321759259259259</v>
      </c>
      <c r="D15" s="21">
        <f t="shared" si="1"/>
        <v>0.19475694444444444</v>
      </c>
      <c r="E15" s="21">
        <f t="shared" si="2"/>
        <v>4.9004629629629627E-2</v>
      </c>
      <c r="F15" s="20">
        <f t="shared" si="3"/>
        <v>65</v>
      </c>
      <c r="G15" s="22">
        <f t="shared" si="4"/>
        <v>0.51396318166029897</v>
      </c>
    </row>
    <row r="16" spans="1:7" ht="15.5" x14ac:dyDescent="0.35">
      <c r="A16" s="20" t="str">
        <f>[1]Break!A16</f>
        <v>Mum_Ashish Kumar (1008526)</v>
      </c>
      <c r="B16" s="20" t="str">
        <f t="shared" si="5"/>
        <v>Ashish Kumar</v>
      </c>
      <c r="C16" s="21">
        <f t="shared" si="0"/>
        <v>0.34512731481481479</v>
      </c>
      <c r="D16" s="21">
        <f t="shared" si="1"/>
        <v>0.2066550925925926</v>
      </c>
      <c r="E16" s="21">
        <f t="shared" si="2"/>
        <v>5.3460648148148146E-2</v>
      </c>
      <c r="F16" s="20">
        <f t="shared" si="3"/>
        <v>83</v>
      </c>
      <c r="G16" s="22">
        <f t="shared" si="4"/>
        <v>0.510580502364264</v>
      </c>
    </row>
    <row r="17" spans="1:7" ht="15.5" x14ac:dyDescent="0.35">
      <c r="A17" s="20" t="str">
        <f>[1]Break!A17</f>
        <v>Mum_Ashok Kumar (1008527)</v>
      </c>
      <c r="B17" s="20" t="str">
        <f t="shared" si="5"/>
        <v>Ashok Kumar</v>
      </c>
      <c r="C17" s="21">
        <f t="shared" si="0"/>
        <v>0.34531250000000002</v>
      </c>
      <c r="D17" s="21">
        <f t="shared" si="1"/>
        <v>0.17390046296296297</v>
      </c>
      <c r="E17" s="21">
        <f t="shared" si="2"/>
        <v>0.10023148148148148</v>
      </c>
      <c r="F17" s="20">
        <f t="shared" si="3"/>
        <v>82</v>
      </c>
      <c r="G17" s="22">
        <f t="shared" si="4"/>
        <v>0.48292274174627098</v>
      </c>
    </row>
    <row r="18" spans="1:7" ht="15.5" x14ac:dyDescent="0.35">
      <c r="A18" s="20" t="str">
        <f>[1]Break!A18</f>
        <v>Hyd_Ashok Kumar (1008528)</v>
      </c>
      <c r="B18" s="20" t="str">
        <f t="shared" si="5"/>
        <v>Ashok Kumar</v>
      </c>
      <c r="C18" s="21">
        <f t="shared" si="0"/>
        <v>0.32848379629629632</v>
      </c>
      <c r="D18" s="21">
        <f t="shared" si="1"/>
        <v>0.1973611111111111</v>
      </c>
      <c r="E18" s="21">
        <f t="shared" si="2"/>
        <v>3.9224537037037037E-2</v>
      </c>
      <c r="F18" s="20">
        <f t="shared" si="3"/>
        <v>81</v>
      </c>
      <c r="G18" s="22">
        <f t="shared" si="4"/>
        <v>0.57362319861879396</v>
      </c>
    </row>
    <row r="19" spans="1:7" ht="15.5" x14ac:dyDescent="0.35">
      <c r="A19" s="20" t="str">
        <f>[1]Break!A19</f>
        <v>Hyd_Ashok Kumar (1008529)</v>
      </c>
      <c r="B19" s="20" t="str">
        <f t="shared" si="5"/>
        <v>Ashok Kumar</v>
      </c>
      <c r="C19" s="21">
        <f t="shared" si="0"/>
        <v>0.34494212962962961</v>
      </c>
      <c r="D19" s="21">
        <f t="shared" si="1"/>
        <v>0.20702546296296295</v>
      </c>
      <c r="E19" s="21">
        <f t="shared" si="2"/>
        <v>4.8692129629629627E-2</v>
      </c>
      <c r="F19" s="20">
        <f t="shared" si="3"/>
        <v>80</v>
      </c>
      <c r="G19" s="22">
        <f t="shared" si="4"/>
        <v>0.56430560681810604</v>
      </c>
    </row>
    <row r="20" spans="1:7" ht="15.5" x14ac:dyDescent="0.35">
      <c r="A20" s="20" t="str">
        <f>[1]Break!A20</f>
        <v>Hyd_Ashok Kumar (1008530)</v>
      </c>
      <c r="B20" s="20" t="str">
        <f t="shared" si="5"/>
        <v>Ashok Kumar</v>
      </c>
      <c r="C20" s="21">
        <f t="shared" si="0"/>
        <v>0.34810185185185183</v>
      </c>
      <c r="D20" s="21">
        <f t="shared" si="1"/>
        <v>0.18267361111111111</v>
      </c>
      <c r="E20" s="21">
        <f t="shared" si="2"/>
        <v>0.11122685185185185</v>
      </c>
      <c r="F20" s="20">
        <f t="shared" si="3"/>
        <v>79</v>
      </c>
      <c r="G20" s="22">
        <f t="shared" si="4"/>
        <v>0.46974331693044302</v>
      </c>
    </row>
    <row r="21" spans="1:7" ht="15.5" x14ac:dyDescent="0.35">
      <c r="A21" s="20" t="str">
        <f>[1]Break!A21</f>
        <v>Hyd_Ashok Mahto (1008531)</v>
      </c>
      <c r="B21" s="20" t="str">
        <f t="shared" si="5"/>
        <v>Ashok Mahto</v>
      </c>
      <c r="C21" s="21">
        <f t="shared" si="0"/>
        <v>0.34574074074074074</v>
      </c>
      <c r="D21" s="21">
        <f t="shared" si="1"/>
        <v>0.20710648148148147</v>
      </c>
      <c r="E21" s="21">
        <f t="shared" si="2"/>
        <v>5.1736111111111108E-2</v>
      </c>
      <c r="F21" s="20">
        <f t="shared" si="3"/>
        <v>78</v>
      </c>
      <c r="G21" s="22">
        <f t="shared" si="4"/>
        <v>0.57495313336904097</v>
      </c>
    </row>
    <row r="22" spans="1:7" ht="15.5" x14ac:dyDescent="0.35">
      <c r="A22" s="20" t="str">
        <f>[1]Break!A22</f>
        <v>Hyd_Atul Kumar (1008532)</v>
      </c>
      <c r="B22" s="20" t="str">
        <f t="shared" si="5"/>
        <v>Atul Kumar</v>
      </c>
      <c r="C22" s="21">
        <f t="shared" si="0"/>
        <v>0.34283564814814815</v>
      </c>
      <c r="D22" s="21">
        <f t="shared" si="1"/>
        <v>0.20393518518518519</v>
      </c>
      <c r="E22" s="21">
        <f t="shared" si="2"/>
        <v>4.6516203703703705E-2</v>
      </c>
      <c r="F22" s="20">
        <f t="shared" si="3"/>
        <v>77</v>
      </c>
      <c r="G22" s="22">
        <f t="shared" si="4"/>
        <v>0.57945376590932096</v>
      </c>
    </row>
    <row r="23" spans="1:7" ht="15.5" x14ac:dyDescent="0.35">
      <c r="A23" s="20" t="str">
        <f>[1]Break!A23</f>
        <v>Hyd_Azam (1008533)</v>
      </c>
      <c r="B23" s="20" t="str">
        <f t="shared" si="5"/>
        <v>Azam</v>
      </c>
      <c r="C23" s="21">
        <f t="shared" si="0"/>
        <v>0.34553240740740743</v>
      </c>
      <c r="D23" s="21">
        <f t="shared" si="1"/>
        <v>0.20821759259259259</v>
      </c>
      <c r="E23" s="21">
        <f t="shared" si="2"/>
        <v>4.8460648148148149E-2</v>
      </c>
      <c r="F23" s="20">
        <f t="shared" si="3"/>
        <v>76</v>
      </c>
      <c r="G23" s="22">
        <f t="shared" si="4"/>
        <v>0.588296375695049</v>
      </c>
    </row>
    <row r="24" spans="1:7" ht="15.5" x14ac:dyDescent="0.35">
      <c r="A24" s="20" t="str">
        <f>[1]Break!A24</f>
        <v>Hyd_Bhagwat Singh (1008534)</v>
      </c>
      <c r="B24" s="20" t="str">
        <f t="shared" si="5"/>
        <v>Bhagwat Singh</v>
      </c>
      <c r="C24" s="21">
        <f t="shared" si="0"/>
        <v>0.32064814814814813</v>
      </c>
      <c r="D24" s="21">
        <f t="shared" si="1"/>
        <v>0.17288194444444444</v>
      </c>
      <c r="E24" s="21">
        <f t="shared" si="2"/>
        <v>9.0486111111111114E-2</v>
      </c>
      <c r="F24" s="20">
        <f t="shared" si="3"/>
        <v>75</v>
      </c>
      <c r="G24" s="22">
        <f t="shared" si="4"/>
        <v>0.46267686976609901</v>
      </c>
    </row>
    <row r="25" spans="1:7" ht="15.5" x14ac:dyDescent="0.35">
      <c r="A25" s="20" t="str">
        <f>[1]Break!A25</f>
        <v>Hyd_Bindu Nair (1008535)</v>
      </c>
      <c r="B25" s="20" t="str">
        <f t="shared" si="5"/>
        <v>Bindu Nair</v>
      </c>
      <c r="C25" s="21">
        <f t="shared" si="0"/>
        <v>0.34032407407407406</v>
      </c>
      <c r="D25" s="21">
        <f t="shared" si="1"/>
        <v>0.17644675925925926</v>
      </c>
      <c r="E25" s="21">
        <f t="shared" si="2"/>
        <v>9.1168981481481476E-2</v>
      </c>
      <c r="F25" s="20">
        <f t="shared" si="3"/>
        <v>74</v>
      </c>
      <c r="G25" s="22">
        <f t="shared" si="4"/>
        <v>0.478030199972793</v>
      </c>
    </row>
    <row r="26" spans="1:7" ht="15.5" x14ac:dyDescent="0.35">
      <c r="A26" s="20" t="str">
        <f>[1]Break!A26</f>
        <v>Hyd_Daleep Singh (1008536)</v>
      </c>
      <c r="B26" s="20" t="str">
        <f t="shared" si="5"/>
        <v>Daleep Singh</v>
      </c>
      <c r="C26" s="21">
        <f t="shared" si="0"/>
        <v>0.34328703703703706</v>
      </c>
      <c r="D26" s="21">
        <f t="shared" si="1"/>
        <v>0.22703703703703704</v>
      </c>
      <c r="E26" s="21">
        <f t="shared" si="2"/>
        <v>5.0625000000000003E-2</v>
      </c>
      <c r="F26" s="20">
        <f t="shared" si="3"/>
        <v>73</v>
      </c>
      <c r="G26" s="22">
        <f t="shared" si="4"/>
        <v>0.59983142279163904</v>
      </c>
    </row>
    <row r="27" spans="1:7" ht="15.5" x14ac:dyDescent="0.35">
      <c r="A27" s="20" t="str">
        <f>[1]Break!A27</f>
        <v>Hyd_Deepak Kumar (1008537)</v>
      </c>
      <c r="B27" s="20" t="str">
        <f t="shared" si="5"/>
        <v>Deepak Kumar</v>
      </c>
      <c r="C27" s="21">
        <f t="shared" si="0"/>
        <v>0.31663194444444442</v>
      </c>
      <c r="D27" s="21">
        <f t="shared" si="1"/>
        <v>0.21199074074074073</v>
      </c>
      <c r="E27" s="21">
        <f t="shared" si="2"/>
        <v>2.1180555555555557E-2</v>
      </c>
      <c r="F27" s="20">
        <f t="shared" si="3"/>
        <v>72</v>
      </c>
      <c r="G27" s="22">
        <f t="shared" si="4"/>
        <v>0.65029060203969702</v>
      </c>
    </row>
    <row r="28" spans="1:7" ht="15.5" x14ac:dyDescent="0.35">
      <c r="A28" s="20" t="str">
        <f>[1]Break!A28</f>
        <v>Hyd_Deepika Nigam (1008538)</v>
      </c>
      <c r="B28" s="20" t="str">
        <f t="shared" si="5"/>
        <v>Deepika Nigam</v>
      </c>
      <c r="C28" s="21">
        <f t="shared" si="0"/>
        <v>0.34512731481481479</v>
      </c>
      <c r="D28" s="21">
        <f t="shared" si="1"/>
        <v>0.20607638888888888</v>
      </c>
      <c r="E28" s="21">
        <f t="shared" si="2"/>
        <v>4.9768518518518517E-2</v>
      </c>
      <c r="F28" s="20">
        <f t="shared" si="3"/>
        <v>71</v>
      </c>
      <c r="G28" s="22">
        <f t="shared" si="4"/>
        <v>0.55001844461584903</v>
      </c>
    </row>
    <row r="29" spans="1:7" ht="15.5" x14ac:dyDescent="0.35">
      <c r="A29" s="20" t="str">
        <f>[1]Break!A29</f>
        <v>Hyd_Dinesh Kumar (1008539)</v>
      </c>
      <c r="B29" s="20" t="str">
        <f t="shared" si="5"/>
        <v>Dinesh Kumar</v>
      </c>
      <c r="C29" s="21">
        <f t="shared" si="0"/>
        <v>0.34297453703703706</v>
      </c>
      <c r="D29" s="21">
        <f t="shared" si="1"/>
        <v>0.21273148148148149</v>
      </c>
      <c r="E29" s="21">
        <f t="shared" si="2"/>
        <v>4.8645833333333333E-2</v>
      </c>
      <c r="F29" s="20">
        <f t="shared" si="3"/>
        <v>70</v>
      </c>
      <c r="G29" s="22">
        <f t="shared" si="4"/>
        <v>0.51334660682347399</v>
      </c>
    </row>
    <row r="30" spans="1:7" ht="15.5" x14ac:dyDescent="0.35">
      <c r="A30" s="20" t="str">
        <f>[1]Break!A30</f>
        <v>Hyd_Hari Kumar (1008540)</v>
      </c>
      <c r="B30" s="20" t="str">
        <f t="shared" si="5"/>
        <v>Hari Kumar</v>
      </c>
      <c r="C30" s="21">
        <f t="shared" si="0"/>
        <v>0.34387731481481482</v>
      </c>
      <c r="D30" s="21">
        <f t="shared" si="1"/>
        <v>0.17480324074074075</v>
      </c>
      <c r="E30" s="21">
        <f t="shared" si="2"/>
        <v>0.11449074074074074</v>
      </c>
      <c r="F30" s="20">
        <f t="shared" si="3"/>
        <v>69</v>
      </c>
      <c r="G30" s="22">
        <f t="shared" si="4"/>
        <v>0.43603379219817601</v>
      </c>
    </row>
    <row r="31" spans="1:7" ht="15.5" x14ac:dyDescent="0.35">
      <c r="A31" s="20" t="str">
        <f>[1]Break!A31</f>
        <v>Hyd_Heeramani Choudhary (1008541)</v>
      </c>
      <c r="B31" s="20" t="str">
        <f t="shared" si="5"/>
        <v>Heeramani Choudhary</v>
      </c>
      <c r="C31" s="21">
        <f t="shared" si="0"/>
        <v>0.31069444444444444</v>
      </c>
      <c r="D31" s="21">
        <f t="shared" si="1"/>
        <v>0.1912962962962963</v>
      </c>
      <c r="E31" s="21">
        <f t="shared" si="2"/>
        <v>5.5787037037037038E-2</v>
      </c>
      <c r="F31" s="20">
        <f t="shared" si="3"/>
        <v>68</v>
      </c>
      <c r="G31" s="22">
        <f t="shared" si="4"/>
        <v>0.52954105200417201</v>
      </c>
    </row>
    <row r="32" spans="1:7" ht="15.5" x14ac:dyDescent="0.35">
      <c r="A32" s="20" t="str">
        <f>[1]Break!A32</f>
        <v>Hyd_Indra Pal (1008542)</v>
      </c>
      <c r="B32" s="20" t="str">
        <f t="shared" si="5"/>
        <v>Indra Pal</v>
      </c>
      <c r="C32" s="21">
        <f t="shared" si="0"/>
        <v>0.33329861111111109</v>
      </c>
      <c r="D32" s="21">
        <f t="shared" si="1"/>
        <v>0.21824074074074074</v>
      </c>
      <c r="E32" s="21">
        <f t="shared" si="2"/>
        <v>4.809027777777778E-2</v>
      </c>
      <c r="F32" s="20">
        <f t="shared" si="3"/>
        <v>67</v>
      </c>
      <c r="G32" s="22">
        <f t="shared" si="4"/>
        <v>0.56446852102649603</v>
      </c>
    </row>
    <row r="33" spans="1:7" ht="15.5" x14ac:dyDescent="0.35">
      <c r="A33" s="20" t="str">
        <f>[1]Break!A33</f>
        <v>Hyd_Indra Singh (1008543)</v>
      </c>
      <c r="B33" s="20" t="str">
        <f t="shared" si="5"/>
        <v>Indra Singh</v>
      </c>
      <c r="C33" s="21">
        <f t="shared" si="0"/>
        <v>0.34564814814814815</v>
      </c>
      <c r="D33" s="21">
        <f t="shared" si="1"/>
        <v>0.21184027777777778</v>
      </c>
      <c r="E33" s="21">
        <f t="shared" si="2"/>
        <v>8.9745370370370364E-2</v>
      </c>
      <c r="F33" s="20">
        <f t="shared" si="3"/>
        <v>66</v>
      </c>
      <c r="G33" s="22">
        <f t="shared" si="4"/>
        <v>0.49789043664612898</v>
      </c>
    </row>
    <row r="34" spans="1:7" ht="15.5" x14ac:dyDescent="0.35">
      <c r="A34" s="20" t="str">
        <f>[1]Break!A34</f>
        <v>Hyd_Jagdish Chandra (1008544)</v>
      </c>
      <c r="B34" s="20" t="str">
        <f t="shared" si="5"/>
        <v>Jagdish Chandra</v>
      </c>
      <c r="C34" s="21">
        <f t="shared" ref="C34:C65" si="6">TIMEVALUE(VLOOKUP(A34,EData,2,0))</f>
        <v>0.34664351851851855</v>
      </c>
      <c r="D34" s="21">
        <f t="shared" ref="D34:D65" si="7">TIMEVALUE(VLOOKUP(A34,EData,3,0))</f>
        <v>0.20781250000000001</v>
      </c>
      <c r="E34" s="21">
        <f t="shared" ref="E34:E65" si="8">TIMEVALUE(VLOOKUP(A34,BData,9,0))</f>
        <v>4.7951388888888891E-2</v>
      </c>
      <c r="F34" s="20">
        <f t="shared" ref="F34:F65" si="9">VLOOKUP(A34,PData,2,0)</f>
        <v>65</v>
      </c>
      <c r="G34" s="22">
        <f t="shared" ref="G34:G65" si="10">VLOOKUP(A34,EData,6,0)</f>
        <v>0.56270450751252099</v>
      </c>
    </row>
    <row r="35" spans="1:7" ht="15.5" x14ac:dyDescent="0.35">
      <c r="A35" s="20" t="str">
        <f>[1]Break!A35</f>
        <v>Hyd_Jairaj Vatham (1008545)</v>
      </c>
      <c r="B35" s="20" t="str">
        <f t="shared" si="5"/>
        <v>Jairaj Vatham</v>
      </c>
      <c r="C35" s="21">
        <f t="shared" si="6"/>
        <v>0.34471064814814817</v>
      </c>
      <c r="D35" s="21">
        <f t="shared" si="7"/>
        <v>0.20981481481481482</v>
      </c>
      <c r="E35" s="21">
        <f t="shared" si="8"/>
        <v>4.8564814814814818E-2</v>
      </c>
      <c r="F35" s="20">
        <f t="shared" si="9"/>
        <v>64</v>
      </c>
      <c r="G35" s="22">
        <f t="shared" si="10"/>
        <v>0.57680556021891705</v>
      </c>
    </row>
    <row r="36" spans="1:7" ht="15.5" x14ac:dyDescent="0.35">
      <c r="A36" s="20" t="str">
        <f>[1]Break!A36</f>
        <v>Hyd_Janardan Mishra (1008546)</v>
      </c>
      <c r="B36" s="20" t="str">
        <f t="shared" si="5"/>
        <v>Janardan Mishra</v>
      </c>
      <c r="C36" s="21">
        <f t="shared" si="6"/>
        <v>0.31923611111111111</v>
      </c>
      <c r="D36" s="21">
        <f t="shared" si="7"/>
        <v>0.18953703703703703</v>
      </c>
      <c r="E36" s="21">
        <f t="shared" si="8"/>
        <v>6.1215277777777778E-2</v>
      </c>
      <c r="F36" s="20">
        <f t="shared" si="9"/>
        <v>63</v>
      </c>
      <c r="G36" s="22">
        <f t="shared" si="10"/>
        <v>0.55728373576970502</v>
      </c>
    </row>
    <row r="37" spans="1:7" ht="15.5" x14ac:dyDescent="0.35">
      <c r="A37" s="20" t="str">
        <f>[1]Break!A37</f>
        <v>Hyd_Jitendra Kumar (1008547)</v>
      </c>
      <c r="B37" s="20" t="str">
        <f t="shared" si="5"/>
        <v>Jitendra Kumar</v>
      </c>
      <c r="C37" s="21">
        <f t="shared" si="6"/>
        <v>0.34128472222222223</v>
      </c>
      <c r="D37" s="21">
        <f t="shared" si="7"/>
        <v>0.17200231481481482</v>
      </c>
      <c r="E37" s="21">
        <f t="shared" si="8"/>
        <v>0.10777777777777778</v>
      </c>
      <c r="F37" s="20">
        <f t="shared" si="9"/>
        <v>62</v>
      </c>
      <c r="G37" s="22">
        <f t="shared" si="10"/>
        <v>0.47590463594126198</v>
      </c>
    </row>
    <row r="38" spans="1:7" ht="15.5" x14ac:dyDescent="0.35">
      <c r="A38" s="20" t="str">
        <f>[1]Break!A38</f>
        <v>Hyd_John D'Costa (1008548)</v>
      </c>
      <c r="B38" s="20" t="str">
        <f t="shared" si="5"/>
        <v>John D'Costa</v>
      </c>
      <c r="C38" s="21">
        <f t="shared" si="6"/>
        <v>0.34012731481481484</v>
      </c>
      <c r="D38" s="21">
        <f t="shared" si="7"/>
        <v>0.20243055555555556</v>
      </c>
      <c r="E38" s="21">
        <f t="shared" si="8"/>
        <v>4.8333333333333332E-2</v>
      </c>
      <c r="F38" s="20">
        <f t="shared" si="9"/>
        <v>61</v>
      </c>
      <c r="G38" s="22">
        <f t="shared" si="10"/>
        <v>0.55636846224520997</v>
      </c>
    </row>
    <row r="39" spans="1:7" ht="15.5" x14ac:dyDescent="0.35">
      <c r="A39" s="20" t="str">
        <f>[1]Break!A39</f>
        <v>Hyd_Julie S (1008549)</v>
      </c>
      <c r="B39" s="20" t="str">
        <f t="shared" si="5"/>
        <v>Julie S</v>
      </c>
      <c r="C39" s="21">
        <f t="shared" si="6"/>
        <v>0.3442824074074074</v>
      </c>
      <c r="D39" s="21">
        <f t="shared" si="7"/>
        <v>0.20569444444444446</v>
      </c>
      <c r="E39" s="21">
        <f t="shared" si="8"/>
        <v>4.912037037037037E-2</v>
      </c>
      <c r="F39" s="20">
        <f t="shared" si="9"/>
        <v>60</v>
      </c>
      <c r="G39" s="22">
        <f t="shared" si="10"/>
        <v>0.527970147246689</v>
      </c>
    </row>
    <row r="40" spans="1:7" ht="15.5" x14ac:dyDescent="0.35">
      <c r="A40" s="20" t="str">
        <f>[1]Break!A40</f>
        <v>Hyd_Jyoti Tulsani (1008550)</v>
      </c>
      <c r="B40" s="20" t="str">
        <f t="shared" si="5"/>
        <v>Jyoti Tulsani</v>
      </c>
      <c r="C40" s="21">
        <f t="shared" si="6"/>
        <v>0.3439699074074074</v>
      </c>
      <c r="D40" s="21">
        <f t="shared" si="7"/>
        <v>0.20620370370370369</v>
      </c>
      <c r="E40" s="21">
        <f t="shared" si="8"/>
        <v>4.8923611111111112E-2</v>
      </c>
      <c r="F40" s="20">
        <f t="shared" si="9"/>
        <v>59</v>
      </c>
      <c r="G40" s="22">
        <f t="shared" si="10"/>
        <v>0.565025741108382</v>
      </c>
    </row>
    <row r="41" spans="1:7" ht="15.5" x14ac:dyDescent="0.35">
      <c r="A41" s="20" t="str">
        <f>[1]Break!A41</f>
        <v>Hyd_Kahkasha Parveen (1008551)</v>
      </c>
      <c r="B41" s="20" t="str">
        <f t="shared" si="5"/>
        <v>Kahkasha Parveen</v>
      </c>
      <c r="C41" s="21">
        <f t="shared" si="6"/>
        <v>0.34541666666666665</v>
      </c>
      <c r="D41" s="21">
        <f t="shared" si="7"/>
        <v>0.22590277777777779</v>
      </c>
      <c r="E41" s="21">
        <f t="shared" si="8"/>
        <v>4.8750000000000002E-2</v>
      </c>
      <c r="F41" s="20">
        <f t="shared" si="9"/>
        <v>58</v>
      </c>
      <c r="G41" s="22">
        <f t="shared" si="10"/>
        <v>0.48579278917035301</v>
      </c>
    </row>
    <row r="42" spans="1:7" ht="15.5" x14ac:dyDescent="0.35">
      <c r="A42" s="20" t="str">
        <f>[1]Break!A42</f>
        <v>Hyd_Kailash Nath (1008552)</v>
      </c>
      <c r="B42" s="20" t="str">
        <f t="shared" si="5"/>
        <v>Kailash Nath</v>
      </c>
      <c r="C42" s="21">
        <f t="shared" si="6"/>
        <v>0.34445601851851854</v>
      </c>
      <c r="D42" s="21">
        <f t="shared" si="7"/>
        <v>0.20725694444444445</v>
      </c>
      <c r="E42" s="21">
        <f t="shared" si="8"/>
        <v>4.6990740740740743E-2</v>
      </c>
      <c r="F42" s="20">
        <f t="shared" si="9"/>
        <v>57</v>
      </c>
      <c r="G42" s="22">
        <f t="shared" si="10"/>
        <v>0.572258996673499</v>
      </c>
    </row>
    <row r="43" spans="1:7" ht="15.5" x14ac:dyDescent="0.35">
      <c r="A43" s="20" t="str">
        <f>[1]Break!A43</f>
        <v>Hyd_Kalpana Agrawal (1008553)</v>
      </c>
      <c r="B43" s="20" t="str">
        <f t="shared" si="5"/>
        <v>Kalpana Agrawal</v>
      </c>
      <c r="C43" s="21">
        <f t="shared" si="6"/>
        <v>0.3334259259259259</v>
      </c>
      <c r="D43" s="21">
        <f t="shared" si="7"/>
        <v>0.16271990740740741</v>
      </c>
      <c r="E43" s="21">
        <f t="shared" si="8"/>
        <v>0.10062500000000001</v>
      </c>
      <c r="F43" s="20">
        <f t="shared" si="9"/>
        <v>56</v>
      </c>
      <c r="G43" s="22">
        <f t="shared" si="10"/>
        <v>0.46542627048042201</v>
      </c>
    </row>
    <row r="44" spans="1:7" ht="15.5" x14ac:dyDescent="0.35">
      <c r="A44" s="20" t="str">
        <f>[1]Break!A44</f>
        <v>Hyd_Kamini Kumar (1008554)</v>
      </c>
      <c r="B44" s="20" t="str">
        <f t="shared" si="5"/>
        <v>Kamini Kumar</v>
      </c>
      <c r="C44" s="21">
        <f t="shared" si="6"/>
        <v>0.20945601851851853</v>
      </c>
      <c r="D44" s="21">
        <f t="shared" si="7"/>
        <v>0.13993055555555556</v>
      </c>
      <c r="E44" s="21">
        <f t="shared" si="8"/>
        <v>1.0416666666666666E-2</v>
      </c>
      <c r="F44" s="20">
        <f t="shared" si="9"/>
        <v>55</v>
      </c>
      <c r="G44" s="22">
        <f t="shared" si="10"/>
        <v>0.64380836602751801</v>
      </c>
    </row>
    <row r="45" spans="1:7" ht="15.5" x14ac:dyDescent="0.35">
      <c r="A45" s="20" t="str">
        <f>[1]Break!A45</f>
        <v>Hyd_Kamini Tiwari (1008555)</v>
      </c>
      <c r="B45" s="20" t="str">
        <f t="shared" si="5"/>
        <v>Kamini Tiwari</v>
      </c>
      <c r="C45" s="21">
        <f t="shared" si="6"/>
        <v>0.35192129629629632</v>
      </c>
      <c r="D45" s="21">
        <f t="shared" si="7"/>
        <v>0.22140046296296295</v>
      </c>
      <c r="E45" s="21">
        <f t="shared" si="8"/>
        <v>4.8437500000000001E-2</v>
      </c>
      <c r="F45" s="20">
        <f t="shared" si="9"/>
        <v>54</v>
      </c>
      <c r="G45" s="22">
        <f t="shared" si="10"/>
        <v>0.57347234098533195</v>
      </c>
    </row>
    <row r="46" spans="1:7" ht="15.5" x14ac:dyDescent="0.35">
      <c r="A46" s="20" t="str">
        <f>[1]Break!A46</f>
        <v>Hyd_Kavita Sharma (1008556)</v>
      </c>
      <c r="B46" s="20" t="str">
        <f t="shared" si="5"/>
        <v>Kavita Sharma</v>
      </c>
      <c r="C46" s="21">
        <f t="shared" si="6"/>
        <v>0.32876157407407408</v>
      </c>
      <c r="D46" s="21">
        <f t="shared" si="7"/>
        <v>0.22660879629629629</v>
      </c>
      <c r="E46" s="21">
        <f t="shared" si="8"/>
        <v>3.9108796296296294E-2</v>
      </c>
      <c r="F46" s="20">
        <f t="shared" si="9"/>
        <v>53</v>
      </c>
      <c r="G46" s="22">
        <f t="shared" si="10"/>
        <v>0.64717479317021698</v>
      </c>
    </row>
    <row r="47" spans="1:7" ht="15.5" x14ac:dyDescent="0.35">
      <c r="A47" s="20" t="str">
        <f>[1]Break!A47</f>
        <v>Hyd_Kiran Khubchandani (1008557)</v>
      </c>
      <c r="B47" s="20" t="str">
        <f t="shared" si="5"/>
        <v>Kiran Khubchandani</v>
      </c>
      <c r="C47" s="21">
        <f t="shared" si="6"/>
        <v>0.33435185185185184</v>
      </c>
      <c r="D47" s="21">
        <f t="shared" si="7"/>
        <v>0.17586805555555557</v>
      </c>
      <c r="E47" s="21">
        <f t="shared" si="8"/>
        <v>9.0555555555555556E-2</v>
      </c>
      <c r="F47" s="20">
        <f t="shared" si="9"/>
        <v>52</v>
      </c>
      <c r="G47" s="22">
        <f t="shared" si="10"/>
        <v>0.50443090556632497</v>
      </c>
    </row>
    <row r="48" spans="1:7" ht="15.5" x14ac:dyDescent="0.35">
      <c r="A48" s="20" t="str">
        <f>[1]Break!A48</f>
        <v>Hyd_Kisun Sah (1008558)</v>
      </c>
      <c r="B48" s="20" t="str">
        <f t="shared" si="5"/>
        <v>Kisun Sah</v>
      </c>
      <c r="C48" s="21">
        <f t="shared" si="6"/>
        <v>0.34831018518518519</v>
      </c>
      <c r="D48" s="21">
        <f t="shared" si="7"/>
        <v>0.21436342592592592</v>
      </c>
      <c r="E48" s="21">
        <f t="shared" si="8"/>
        <v>4.8240740740740744E-2</v>
      </c>
      <c r="F48" s="20">
        <f t="shared" si="9"/>
        <v>51</v>
      </c>
      <c r="G48" s="22">
        <f t="shared" si="10"/>
        <v>0.55280122283511701</v>
      </c>
    </row>
    <row r="49" spans="1:7" ht="15.5" x14ac:dyDescent="0.35">
      <c r="A49" s="20" t="str">
        <f>[1]Break!A49</f>
        <v>Hyd_Krishana Kumar (1008559)</v>
      </c>
      <c r="B49" s="20" t="str">
        <f t="shared" si="5"/>
        <v>Krishana Kumar</v>
      </c>
      <c r="C49" s="21">
        <f t="shared" si="6"/>
        <v>0.34407407407407409</v>
      </c>
      <c r="D49" s="21">
        <f t="shared" si="7"/>
        <v>0.19798611111111111</v>
      </c>
      <c r="E49" s="21">
        <f t="shared" si="8"/>
        <v>4.8437500000000001E-2</v>
      </c>
      <c r="F49" s="20">
        <f t="shared" si="9"/>
        <v>50</v>
      </c>
      <c r="G49" s="22">
        <f t="shared" si="10"/>
        <v>0.55493137782561897</v>
      </c>
    </row>
    <row r="50" spans="1:7" ht="15.5" x14ac:dyDescent="0.35">
      <c r="A50" s="20" t="str">
        <f>[1]Break!A50</f>
        <v>Hyd_Kunj Bihari (1008560)</v>
      </c>
      <c r="B50" s="20" t="str">
        <f t="shared" si="5"/>
        <v>Kunj Bihari</v>
      </c>
      <c r="C50" s="21">
        <f t="shared" si="6"/>
        <v>0.33285879629629628</v>
      </c>
      <c r="D50" s="21">
        <f t="shared" si="7"/>
        <v>0.19598379629629631</v>
      </c>
      <c r="E50" s="21">
        <f t="shared" si="8"/>
        <v>4.8738425925925928E-2</v>
      </c>
      <c r="F50" s="20">
        <f t="shared" si="9"/>
        <v>49</v>
      </c>
      <c r="G50" s="22">
        <f t="shared" si="10"/>
        <v>0.55217497131332804</v>
      </c>
    </row>
    <row r="51" spans="1:7" ht="15.5" x14ac:dyDescent="0.35">
      <c r="A51" s="20" t="str">
        <f>[1]Break!A51</f>
        <v>Hyd_Leena George (1008561)</v>
      </c>
      <c r="B51" s="20" t="str">
        <f t="shared" si="5"/>
        <v>Leena George</v>
      </c>
      <c r="C51" s="21">
        <f t="shared" si="6"/>
        <v>0.20570601851851852</v>
      </c>
      <c r="D51" s="21">
        <f t="shared" si="7"/>
        <v>0.13252314814814814</v>
      </c>
      <c r="E51" s="21">
        <f t="shared" si="8"/>
        <v>1.2615740740740742E-2</v>
      </c>
      <c r="F51" s="20">
        <f t="shared" si="9"/>
        <v>48</v>
      </c>
      <c r="G51" s="22">
        <f t="shared" si="10"/>
        <v>0.58819557756147001</v>
      </c>
    </row>
    <row r="52" spans="1:7" ht="15.5" x14ac:dyDescent="0.35">
      <c r="A52" s="20" t="str">
        <f>[1]Break!A52</f>
        <v>Hyd_Lilly Lucy (1008562)</v>
      </c>
      <c r="B52" s="20" t="str">
        <f t="shared" si="5"/>
        <v>Lilly Lucy</v>
      </c>
      <c r="C52" s="21">
        <f t="shared" si="6"/>
        <v>0.32318287037037036</v>
      </c>
      <c r="D52" s="21">
        <f t="shared" si="7"/>
        <v>0.19381944444444443</v>
      </c>
      <c r="E52" s="21">
        <f t="shared" si="8"/>
        <v>5.1898148148148152E-2</v>
      </c>
      <c r="F52" s="20">
        <f t="shared" si="9"/>
        <v>47</v>
      </c>
      <c r="G52" s="22">
        <f t="shared" si="10"/>
        <v>0.55534863732407003</v>
      </c>
    </row>
    <row r="53" spans="1:7" ht="15.5" x14ac:dyDescent="0.35">
      <c r="A53" s="20" t="str">
        <f>[1]Break!A53</f>
        <v>Hyd_Mangal Singh (1008563)</v>
      </c>
      <c r="B53" s="20" t="str">
        <f t="shared" si="5"/>
        <v>Mangal Singh</v>
      </c>
      <c r="C53" s="21">
        <f t="shared" si="6"/>
        <v>0.33348379629629632</v>
      </c>
      <c r="D53" s="21">
        <f t="shared" si="7"/>
        <v>0.19890046296296296</v>
      </c>
      <c r="E53" s="21">
        <f t="shared" si="8"/>
        <v>4.8657407407407406E-2</v>
      </c>
      <c r="F53" s="20">
        <f t="shared" si="9"/>
        <v>46</v>
      </c>
      <c r="G53" s="22">
        <f t="shared" si="10"/>
        <v>0.55815083469267301</v>
      </c>
    </row>
    <row r="54" spans="1:7" ht="15.5" x14ac:dyDescent="0.35">
      <c r="A54" s="20" t="str">
        <f>[1]Break!A54</f>
        <v>Hyd_Manisha Shrivastava (1008564)</v>
      </c>
      <c r="B54" s="20" t="str">
        <f t="shared" si="5"/>
        <v>Manisha Shrivastava</v>
      </c>
      <c r="C54" s="21">
        <f t="shared" si="6"/>
        <v>0.34015046296296297</v>
      </c>
      <c r="D54" s="21">
        <f t="shared" si="7"/>
        <v>0.20222222222222222</v>
      </c>
      <c r="E54" s="21">
        <f t="shared" si="8"/>
        <v>4.8715277777777781E-2</v>
      </c>
      <c r="F54" s="20">
        <f t="shared" si="9"/>
        <v>45</v>
      </c>
      <c r="G54" s="22">
        <f t="shared" si="10"/>
        <v>0.53002824185919895</v>
      </c>
    </row>
    <row r="55" spans="1:7" ht="15.5" x14ac:dyDescent="0.35">
      <c r="A55" s="20" t="str">
        <f>[1]Break!A55</f>
        <v>Hyd_Manjusha Sinha (1008565)</v>
      </c>
      <c r="B55" s="20" t="str">
        <f t="shared" si="5"/>
        <v>Manjusha Sinha</v>
      </c>
      <c r="C55" s="21">
        <f t="shared" si="6"/>
        <v>0.34311342592592592</v>
      </c>
      <c r="D55" s="21">
        <f t="shared" si="7"/>
        <v>0.21112268518518518</v>
      </c>
      <c r="E55" s="21">
        <f t="shared" si="8"/>
        <v>4.9062500000000002E-2</v>
      </c>
      <c r="F55" s="20">
        <f t="shared" si="9"/>
        <v>44</v>
      </c>
      <c r="G55" s="22">
        <f t="shared" si="10"/>
        <v>0.54639905548996504</v>
      </c>
    </row>
    <row r="56" spans="1:7" ht="15.5" x14ac:dyDescent="0.35">
      <c r="A56" s="20" t="str">
        <f>[1]Break!A56</f>
        <v>Hyd_ManjuTiwari Lab (1008566)</v>
      </c>
      <c r="B56" s="20" t="str">
        <f t="shared" si="5"/>
        <v>ManjuTiwari Lab</v>
      </c>
      <c r="C56" s="21">
        <f t="shared" si="6"/>
        <v>0.32046296296296295</v>
      </c>
      <c r="D56" s="21">
        <f t="shared" si="7"/>
        <v>0.18484953703703705</v>
      </c>
      <c r="E56" s="21">
        <f t="shared" si="8"/>
        <v>4.9143518518518517E-2</v>
      </c>
      <c r="F56" s="20">
        <f t="shared" si="9"/>
        <v>43</v>
      </c>
      <c r="G56" s="22">
        <f t="shared" si="10"/>
        <v>0.52849609939323905</v>
      </c>
    </row>
    <row r="57" spans="1:7" ht="15.5" x14ac:dyDescent="0.35">
      <c r="A57" s="20" t="str">
        <f>[1]Break!A57</f>
        <v>Hyd_Manoj Kumar (1008567)</v>
      </c>
      <c r="B57" s="20" t="str">
        <f t="shared" si="5"/>
        <v>Manoj Kumar</v>
      </c>
      <c r="C57" s="21">
        <f t="shared" si="6"/>
        <v>0.33384259259259258</v>
      </c>
      <c r="D57" s="21">
        <f t="shared" si="7"/>
        <v>0.1867824074074074</v>
      </c>
      <c r="E57" s="21">
        <f t="shared" si="8"/>
        <v>4.853009259259259E-2</v>
      </c>
      <c r="F57" s="20">
        <f t="shared" si="9"/>
        <v>42</v>
      </c>
      <c r="G57" s="22">
        <f t="shared" si="10"/>
        <v>0.53279711551795905</v>
      </c>
    </row>
    <row r="58" spans="1:7" ht="15.5" x14ac:dyDescent="0.35">
      <c r="A58" s="20" t="str">
        <f>[1]Break!A58</f>
        <v>Hyd_Manoj Kumar (1008568)</v>
      </c>
      <c r="B58" s="20" t="str">
        <f t="shared" si="5"/>
        <v>Manoj Kumar</v>
      </c>
      <c r="C58" s="21">
        <f t="shared" si="6"/>
        <v>0.33012731481481483</v>
      </c>
      <c r="D58" s="21">
        <f t="shared" si="7"/>
        <v>0.18739583333333334</v>
      </c>
      <c r="E58" s="21">
        <f t="shared" si="8"/>
        <v>5.2766203703703704E-2</v>
      </c>
      <c r="F58" s="20">
        <f t="shared" si="9"/>
        <v>41</v>
      </c>
      <c r="G58" s="22">
        <f t="shared" si="10"/>
        <v>0.53150089401535605</v>
      </c>
    </row>
    <row r="59" spans="1:7" ht="15.5" x14ac:dyDescent="0.35">
      <c r="A59" s="20" t="str">
        <f>[1]Break!A59</f>
        <v>Hyd_Masroor Adil (1008569)</v>
      </c>
      <c r="B59" s="20" t="str">
        <f t="shared" si="5"/>
        <v>Masroor Adil</v>
      </c>
      <c r="C59" s="21">
        <f t="shared" si="6"/>
        <v>0.34032407407407406</v>
      </c>
      <c r="D59" s="21">
        <f t="shared" si="7"/>
        <v>0.21151620370370369</v>
      </c>
      <c r="E59" s="21">
        <f t="shared" si="8"/>
        <v>4.9756944444444444E-2</v>
      </c>
      <c r="F59" s="20">
        <f t="shared" si="9"/>
        <v>40</v>
      </c>
      <c r="G59" s="22">
        <f t="shared" si="10"/>
        <v>0.58954564004897303</v>
      </c>
    </row>
    <row r="60" spans="1:7" ht="15.5" x14ac:dyDescent="0.35">
      <c r="A60" s="20" t="str">
        <f>[1]Break!A60</f>
        <v>Hyd_Meena Zinjare (1008570)</v>
      </c>
      <c r="B60" s="20" t="str">
        <f t="shared" si="5"/>
        <v>Meena Zinjare</v>
      </c>
      <c r="C60" s="21">
        <f t="shared" si="6"/>
        <v>0.33714120370370371</v>
      </c>
      <c r="D60" s="21">
        <f t="shared" si="7"/>
        <v>0.13162037037037036</v>
      </c>
      <c r="E60" s="21">
        <f t="shared" si="8"/>
        <v>0.14913194444444444</v>
      </c>
      <c r="F60" s="20">
        <f t="shared" si="9"/>
        <v>39</v>
      </c>
      <c r="G60" s="22">
        <f t="shared" si="10"/>
        <v>0.34903360911806097</v>
      </c>
    </row>
    <row r="61" spans="1:7" ht="15.5" x14ac:dyDescent="0.35">
      <c r="A61" s="20" t="str">
        <f>[1]Break!A61</f>
        <v>Hyd_Mehnaz Khan (1008571)</v>
      </c>
      <c r="B61" s="20" t="str">
        <f t="shared" si="5"/>
        <v>Mehnaz Khan</v>
      </c>
      <c r="C61" s="21">
        <f t="shared" si="6"/>
        <v>0.34364583333333332</v>
      </c>
      <c r="D61" s="21">
        <f t="shared" si="7"/>
        <v>0.17246527777777779</v>
      </c>
      <c r="E61" s="21">
        <f t="shared" si="8"/>
        <v>9.194444444444444E-2</v>
      </c>
      <c r="F61" s="20">
        <f t="shared" si="9"/>
        <v>38</v>
      </c>
      <c r="G61" s="22">
        <f t="shared" si="10"/>
        <v>0.47933717288067101</v>
      </c>
    </row>
    <row r="62" spans="1:7" ht="15.5" x14ac:dyDescent="0.35">
      <c r="A62" s="20" t="str">
        <f>[1]Break!A62</f>
        <v>Hyd_Mercy Thampi (1008572)</v>
      </c>
      <c r="B62" s="20" t="str">
        <f t="shared" si="5"/>
        <v>Mercy Thampi</v>
      </c>
      <c r="C62" s="21">
        <f t="shared" si="6"/>
        <v>0.21915509259259258</v>
      </c>
      <c r="D62" s="21">
        <f t="shared" si="7"/>
        <v>0.15189814814814814</v>
      </c>
      <c r="E62" s="21">
        <f t="shared" si="8"/>
        <v>1.0821759259259258E-2</v>
      </c>
      <c r="F62" s="20">
        <f t="shared" si="9"/>
        <v>37</v>
      </c>
      <c r="G62" s="22">
        <f t="shared" si="10"/>
        <v>0.62762080802746201</v>
      </c>
    </row>
    <row r="63" spans="1:7" ht="15.5" x14ac:dyDescent="0.35">
      <c r="A63" s="20" t="str">
        <f>[1]Break!A63</f>
        <v>Hyd_Miny Mole (1008573)</v>
      </c>
      <c r="B63" s="20" t="str">
        <f t="shared" si="5"/>
        <v>Miny Mole</v>
      </c>
      <c r="C63" s="21">
        <f t="shared" si="6"/>
        <v>0.3417824074074074</v>
      </c>
      <c r="D63" s="21">
        <f t="shared" si="7"/>
        <v>0.17645833333333333</v>
      </c>
      <c r="E63" s="21">
        <f t="shared" si="8"/>
        <v>9.2442129629629624E-2</v>
      </c>
      <c r="F63" s="20">
        <f t="shared" si="9"/>
        <v>36</v>
      </c>
      <c r="G63" s="22">
        <f t="shared" si="10"/>
        <v>0.47561801557737898</v>
      </c>
    </row>
    <row r="64" spans="1:7" ht="15.5" x14ac:dyDescent="0.35">
      <c r="A64" s="20" t="str">
        <f>[1]Break!A64</f>
        <v>Hyd_Mohd Rafi (1008574)</v>
      </c>
      <c r="B64" s="20" t="str">
        <f t="shared" si="5"/>
        <v>Mohd Rafi</v>
      </c>
      <c r="C64" s="21">
        <f t="shared" si="6"/>
        <v>0.33370370370370372</v>
      </c>
      <c r="D64" s="21">
        <f t="shared" si="7"/>
        <v>0.16336805555555556</v>
      </c>
      <c r="E64" s="21">
        <f t="shared" si="8"/>
        <v>0.11005787037037038</v>
      </c>
      <c r="F64" s="20">
        <f t="shared" si="9"/>
        <v>35</v>
      </c>
      <c r="G64" s="22">
        <f t="shared" si="10"/>
        <v>0.43635543840177599</v>
      </c>
    </row>
    <row r="65" spans="1:7" ht="15.5" x14ac:dyDescent="0.35">
      <c r="A65" s="20" t="str">
        <f>[1]Break!A65</f>
        <v>Hyd_Mubeen Khan (1008575)</v>
      </c>
      <c r="B65" s="20" t="str">
        <f t="shared" si="5"/>
        <v>Mubeen Khan</v>
      </c>
      <c r="C65" s="21">
        <f t="shared" si="6"/>
        <v>0.33026620370370369</v>
      </c>
      <c r="D65" s="21">
        <f t="shared" si="7"/>
        <v>0.16021990740740741</v>
      </c>
      <c r="E65" s="21">
        <f t="shared" si="8"/>
        <v>0.10043981481481482</v>
      </c>
      <c r="F65" s="20">
        <f t="shared" si="9"/>
        <v>34</v>
      </c>
      <c r="G65" s="22">
        <f t="shared" si="10"/>
        <v>0.451270369721395</v>
      </c>
    </row>
    <row r="66" spans="1:7" ht="15.5" x14ac:dyDescent="0.35">
      <c r="A66" s="20" t="str">
        <f>[1]Break!A66</f>
        <v>Hyd_Mukesh Nagar (1008576)</v>
      </c>
      <c r="B66" s="20" t="str">
        <f t="shared" si="5"/>
        <v>Mukesh Nagar</v>
      </c>
      <c r="C66" s="21">
        <f t="shared" ref="C66:C97" si="11">TIMEVALUE(VLOOKUP(A66,EData,2,0))</f>
        <v>0.20910879629629631</v>
      </c>
      <c r="D66" s="21">
        <f t="shared" ref="D66:D97" si="12">TIMEVALUE(VLOOKUP(A66,EData,3,0))</f>
        <v>0.13449074074074074</v>
      </c>
      <c r="E66" s="21">
        <f t="shared" ref="E66:E97" si="13">TIMEVALUE(VLOOKUP(A66,BData,9,0))</f>
        <v>2.0532407407407409E-2</v>
      </c>
      <c r="F66" s="20">
        <f t="shared" ref="F66:F97" si="14">VLOOKUP(A66,PData,2,0)</f>
        <v>33</v>
      </c>
      <c r="G66" s="22">
        <f t="shared" ref="G66:G97" si="15">VLOOKUP(A66,EData,6,0)</f>
        <v>0.61244257486024201</v>
      </c>
    </row>
    <row r="67" spans="1:7" ht="15.5" x14ac:dyDescent="0.35">
      <c r="A67" s="20" t="str">
        <f>[1]Break!A67</f>
        <v>Hyd_Nandu Kumar (1008577)</v>
      </c>
      <c r="B67" s="20" t="str">
        <f t="shared" ref="B67:B130" si="16">MID(A67,FIND("_",A67,1)+1,FIND("(",A67,1)-FIND("_",A67,1)-2)</f>
        <v>Nandu Kumar</v>
      </c>
      <c r="C67" s="21">
        <f t="shared" si="11"/>
        <v>0.34836805555555556</v>
      </c>
      <c r="D67" s="21">
        <f t="shared" si="12"/>
        <v>0.19697916666666668</v>
      </c>
      <c r="E67" s="21">
        <f t="shared" si="13"/>
        <v>5.1423611111111114E-2</v>
      </c>
      <c r="F67" s="20">
        <f t="shared" si="14"/>
        <v>32</v>
      </c>
      <c r="G67" s="22">
        <f t="shared" si="15"/>
        <v>0.51755872288115901</v>
      </c>
    </row>
    <row r="68" spans="1:7" ht="15.5" x14ac:dyDescent="0.35">
      <c r="A68" s="20" t="str">
        <f>[1]Break!A68</f>
        <v>Hyd_Narayan Singh (1008578)</v>
      </c>
      <c r="B68" s="20" t="str">
        <f t="shared" si="16"/>
        <v>Narayan Singh</v>
      </c>
      <c r="C68" s="21">
        <f t="shared" si="11"/>
        <v>0.34686342592592595</v>
      </c>
      <c r="D68" s="21">
        <f t="shared" si="12"/>
        <v>0.20438657407407407</v>
      </c>
      <c r="E68" s="21">
        <f t="shared" si="13"/>
        <v>4.7534722222222221E-2</v>
      </c>
      <c r="F68" s="20">
        <f t="shared" si="14"/>
        <v>31</v>
      </c>
      <c r="G68" s="22">
        <f t="shared" si="15"/>
        <v>0.55550735760285597</v>
      </c>
    </row>
    <row r="69" spans="1:7" ht="15.5" x14ac:dyDescent="0.35">
      <c r="A69" s="20" t="str">
        <f>[1]Break!A69</f>
        <v>Hyd_Neeraj Saxena (1008579)</v>
      </c>
      <c r="B69" s="20" t="str">
        <f t="shared" si="16"/>
        <v>Neeraj Saxena</v>
      </c>
      <c r="C69" s="21">
        <f t="shared" si="11"/>
        <v>0.34806712962962966</v>
      </c>
      <c r="D69" s="21">
        <f t="shared" si="12"/>
        <v>0.19177083333333333</v>
      </c>
      <c r="E69" s="21">
        <f t="shared" si="13"/>
        <v>9.3958333333333338E-2</v>
      </c>
      <c r="F69" s="20">
        <f t="shared" si="14"/>
        <v>30</v>
      </c>
      <c r="G69" s="22">
        <f t="shared" si="15"/>
        <v>0.45535862734013899</v>
      </c>
    </row>
    <row r="70" spans="1:7" ht="15.5" x14ac:dyDescent="0.35">
      <c r="A70" s="20" t="str">
        <f>[1]Break!A70</f>
        <v>Hyd_Neeru Mehta (1008580)</v>
      </c>
      <c r="B70" s="20" t="str">
        <f t="shared" si="16"/>
        <v>Neeru Mehta</v>
      </c>
      <c r="C70" s="21">
        <f t="shared" si="11"/>
        <v>0.3349537037037037</v>
      </c>
      <c r="D70" s="21">
        <f t="shared" si="12"/>
        <v>0.19739583333333333</v>
      </c>
      <c r="E70" s="21">
        <f t="shared" si="13"/>
        <v>4.8645833333333333E-2</v>
      </c>
      <c r="F70" s="20">
        <f t="shared" si="14"/>
        <v>29</v>
      </c>
      <c r="G70" s="22">
        <f t="shared" si="15"/>
        <v>0.53445058742225304</v>
      </c>
    </row>
    <row r="71" spans="1:7" ht="15.5" x14ac:dyDescent="0.35">
      <c r="A71" s="20" t="str">
        <f>[1]Break!A71</f>
        <v>Hyd_Nikita Panwalkar (1008581)</v>
      </c>
      <c r="B71" s="20" t="str">
        <f t="shared" si="16"/>
        <v>Nikita Panwalkar</v>
      </c>
      <c r="C71" s="21">
        <f t="shared" si="11"/>
        <v>0.34497685185185184</v>
      </c>
      <c r="D71" s="21">
        <f t="shared" si="12"/>
        <v>0.20746527777777779</v>
      </c>
      <c r="E71" s="21">
        <f t="shared" si="13"/>
        <v>6.7650462962962968E-2</v>
      </c>
      <c r="F71" s="20">
        <f t="shared" si="14"/>
        <v>28</v>
      </c>
      <c r="G71" s="22">
        <f t="shared" si="15"/>
        <v>0.55914916459773201</v>
      </c>
    </row>
    <row r="72" spans="1:7" ht="15.5" x14ac:dyDescent="0.35">
      <c r="A72" s="20" t="str">
        <f>[1]Break!A72</f>
        <v>Hyd_Nitin Bhatia (1008582)</v>
      </c>
      <c r="B72" s="20" t="str">
        <f t="shared" si="16"/>
        <v>Nitin Bhatia</v>
      </c>
      <c r="C72" s="21">
        <f t="shared" si="11"/>
        <v>0.33376157407407409</v>
      </c>
      <c r="D72" s="21">
        <f t="shared" si="12"/>
        <v>0.19787037037037036</v>
      </c>
      <c r="E72" s="21">
        <f t="shared" si="13"/>
        <v>4.853009259259259E-2</v>
      </c>
      <c r="F72" s="20">
        <f t="shared" si="14"/>
        <v>29</v>
      </c>
      <c r="G72" s="22">
        <f t="shared" si="15"/>
        <v>0.56847106148351101</v>
      </c>
    </row>
    <row r="73" spans="1:7" ht="15.5" x14ac:dyDescent="0.35">
      <c r="A73" s="20" t="str">
        <f>[1]Break!A73</f>
        <v>Hyd_Om Prakash (1008583)</v>
      </c>
      <c r="B73" s="20" t="str">
        <f t="shared" si="16"/>
        <v>Om Prakash</v>
      </c>
      <c r="C73" s="21">
        <f t="shared" si="11"/>
        <v>0.33037037037037037</v>
      </c>
      <c r="D73" s="21">
        <f t="shared" si="12"/>
        <v>0.18496527777777777</v>
      </c>
      <c r="E73" s="21">
        <f t="shared" si="13"/>
        <v>6.6701388888888893E-2</v>
      </c>
      <c r="F73" s="20">
        <f t="shared" si="14"/>
        <v>30</v>
      </c>
      <c r="G73" s="22">
        <f t="shared" si="15"/>
        <v>0.47509108744394601</v>
      </c>
    </row>
    <row r="74" spans="1:7" ht="15.5" x14ac:dyDescent="0.35">
      <c r="A74" s="20" t="str">
        <f>[1]Break!A74</f>
        <v>Hyd_Omprakash O (1008584)</v>
      </c>
      <c r="B74" s="20" t="str">
        <f t="shared" si="16"/>
        <v>Omprakash O</v>
      </c>
      <c r="C74" s="21">
        <f t="shared" si="11"/>
        <v>0.34008101851851852</v>
      </c>
      <c r="D74" s="21">
        <f t="shared" si="12"/>
        <v>0.16811342592592593</v>
      </c>
      <c r="E74" s="21">
        <f t="shared" si="13"/>
        <v>9.1597222222222219E-2</v>
      </c>
      <c r="F74" s="20">
        <f t="shared" si="14"/>
        <v>31</v>
      </c>
      <c r="G74" s="22">
        <f t="shared" si="15"/>
        <v>0.47578531804104401</v>
      </c>
    </row>
    <row r="75" spans="1:7" ht="15.5" x14ac:dyDescent="0.35">
      <c r="A75" s="20" t="str">
        <f>[1]Break!A75</f>
        <v>Hyd_Owais Mohd (1008585)</v>
      </c>
      <c r="B75" s="20" t="str">
        <f t="shared" si="16"/>
        <v>Owais Mohd</v>
      </c>
      <c r="C75" s="21">
        <f t="shared" si="11"/>
        <v>0.33415509259259257</v>
      </c>
      <c r="D75" s="21">
        <f t="shared" si="12"/>
        <v>0.16863425925925926</v>
      </c>
      <c r="E75" s="21">
        <f t="shared" si="13"/>
        <v>0.10168981481481482</v>
      </c>
      <c r="F75" s="20">
        <f t="shared" si="14"/>
        <v>32</v>
      </c>
      <c r="G75" s="22">
        <f t="shared" si="15"/>
        <v>0.46898271622042897</v>
      </c>
    </row>
    <row r="76" spans="1:7" ht="15.5" x14ac:dyDescent="0.35">
      <c r="A76" s="20" t="str">
        <f>[1]Break!A76</f>
        <v>Hyd_Pankaj Shelkey (1008586)</v>
      </c>
      <c r="B76" s="20" t="str">
        <f t="shared" si="16"/>
        <v>Pankaj Shelkey</v>
      </c>
      <c r="C76" s="21">
        <f t="shared" si="11"/>
        <v>0.34437499999999999</v>
      </c>
      <c r="D76" s="21">
        <f t="shared" si="12"/>
        <v>0.18534722222222222</v>
      </c>
      <c r="E76" s="21">
        <f t="shared" si="13"/>
        <v>8.0162037037037032E-2</v>
      </c>
      <c r="F76" s="20">
        <f t="shared" si="14"/>
        <v>33</v>
      </c>
      <c r="G76" s="22">
        <f t="shared" si="15"/>
        <v>0.51361161524500898</v>
      </c>
    </row>
    <row r="77" spans="1:7" ht="15.5" x14ac:dyDescent="0.35">
      <c r="A77" s="20" t="str">
        <f>[1]Break!A77</f>
        <v>Hyd_Partha Sarathi (1008587)</v>
      </c>
      <c r="B77" s="20" t="str">
        <f t="shared" si="16"/>
        <v>Partha Sarathi</v>
      </c>
      <c r="C77" s="21">
        <f t="shared" si="11"/>
        <v>0.3558101851851852</v>
      </c>
      <c r="D77" s="21">
        <f t="shared" si="12"/>
        <v>0.21642361111111111</v>
      </c>
      <c r="E77" s="21">
        <f t="shared" si="13"/>
        <v>6.8541666666666667E-2</v>
      </c>
      <c r="F77" s="20">
        <f t="shared" si="14"/>
        <v>34</v>
      </c>
      <c r="G77" s="22">
        <f t="shared" si="15"/>
        <v>0.525112224318522</v>
      </c>
    </row>
    <row r="78" spans="1:7" ht="15.5" x14ac:dyDescent="0.35">
      <c r="A78" s="20" t="str">
        <f>[1]Break!A78</f>
        <v>Hyd_Prabha Desikan (1008588)</v>
      </c>
      <c r="B78" s="20" t="str">
        <f t="shared" si="16"/>
        <v>Prabha Desikan</v>
      </c>
      <c r="C78" s="21">
        <f t="shared" si="11"/>
        <v>0.34848379629629628</v>
      </c>
      <c r="D78" s="21">
        <f t="shared" si="12"/>
        <v>0.12767361111111111</v>
      </c>
      <c r="E78" s="21">
        <f t="shared" si="13"/>
        <v>0.17460648148148147</v>
      </c>
      <c r="F78" s="20">
        <f t="shared" si="14"/>
        <v>35</v>
      </c>
      <c r="G78" s="22">
        <f t="shared" si="15"/>
        <v>0.348600086352918</v>
      </c>
    </row>
    <row r="79" spans="1:7" ht="15.5" x14ac:dyDescent="0.35">
      <c r="A79" s="20" t="str">
        <f>[1]Break!A79</f>
        <v>Hyd_Pramod Tiwari (1008589)</v>
      </c>
      <c r="B79" s="20" t="str">
        <f t="shared" si="16"/>
        <v>Pramod Tiwari</v>
      </c>
      <c r="C79" s="21">
        <f t="shared" si="11"/>
        <v>0.35092592592592592</v>
      </c>
      <c r="D79" s="21">
        <f t="shared" si="12"/>
        <v>0.12086805555555556</v>
      </c>
      <c r="E79" s="21">
        <f t="shared" si="13"/>
        <v>0.18131944444444445</v>
      </c>
      <c r="F79" s="20">
        <f t="shared" si="14"/>
        <v>36</v>
      </c>
      <c r="G79" s="22">
        <f t="shared" si="15"/>
        <v>0.314709762532982</v>
      </c>
    </row>
    <row r="80" spans="1:7" ht="15.5" x14ac:dyDescent="0.35">
      <c r="A80" s="20" t="str">
        <f>[1]Break!A80</f>
        <v>Hyd_Prasannakumari S (1008590)</v>
      </c>
      <c r="B80" s="20" t="str">
        <f t="shared" si="16"/>
        <v>Prasannakumari S</v>
      </c>
      <c r="C80" s="21">
        <f t="shared" si="11"/>
        <v>0.33891203703703704</v>
      </c>
      <c r="D80" s="21">
        <f t="shared" si="12"/>
        <v>0.21581018518518519</v>
      </c>
      <c r="E80" s="21">
        <f t="shared" si="13"/>
        <v>4.8900462962962965E-2</v>
      </c>
      <c r="F80" s="20">
        <f t="shared" si="14"/>
        <v>37</v>
      </c>
      <c r="G80" s="22">
        <f t="shared" si="15"/>
        <v>0.55600710333993597</v>
      </c>
    </row>
    <row r="81" spans="1:7" ht="15.5" x14ac:dyDescent="0.35">
      <c r="A81" s="20" t="str">
        <f>[1]Break!A81</f>
        <v>Hyd_Praveen Kumar (1008591)</v>
      </c>
      <c r="B81" s="20" t="str">
        <f t="shared" si="16"/>
        <v>Praveen Kumar</v>
      </c>
      <c r="C81" s="21">
        <f t="shared" si="11"/>
        <v>0.34675925925925927</v>
      </c>
      <c r="D81" s="21">
        <f t="shared" si="12"/>
        <v>0.17275462962962962</v>
      </c>
      <c r="E81" s="21">
        <f t="shared" si="13"/>
        <v>0.10935185185185185</v>
      </c>
      <c r="F81" s="20">
        <f t="shared" si="14"/>
        <v>38</v>
      </c>
      <c r="G81" s="22">
        <f t="shared" si="15"/>
        <v>0.46221628838451301</v>
      </c>
    </row>
    <row r="82" spans="1:7" ht="15.5" x14ac:dyDescent="0.35">
      <c r="A82" s="20" t="str">
        <f>[1]Break!A82</f>
        <v>Hyd_Rachel Mathew (1008592)</v>
      </c>
      <c r="B82" s="20" t="str">
        <f t="shared" si="16"/>
        <v>Rachel Mathew</v>
      </c>
      <c r="C82" s="21">
        <f t="shared" si="11"/>
        <v>0.3511111111111111</v>
      </c>
      <c r="D82" s="21">
        <f t="shared" si="12"/>
        <v>0.15339120370370371</v>
      </c>
      <c r="E82" s="21">
        <f t="shared" si="13"/>
        <v>0.13890046296296296</v>
      </c>
      <c r="F82" s="20">
        <f t="shared" si="14"/>
        <v>39</v>
      </c>
      <c r="G82" s="22">
        <f t="shared" si="15"/>
        <v>0.39075685654008402</v>
      </c>
    </row>
    <row r="83" spans="1:7" ht="15.5" x14ac:dyDescent="0.35">
      <c r="A83" s="20" t="str">
        <f>[1]Break!A83</f>
        <v>Hyd_Rachita Anupam (1008593)</v>
      </c>
      <c r="B83" s="20" t="str">
        <f t="shared" si="16"/>
        <v>Rachita Anupam</v>
      </c>
      <c r="C83" s="21">
        <f t="shared" si="11"/>
        <v>0.3447453703703704</v>
      </c>
      <c r="D83" s="21">
        <f t="shared" si="12"/>
        <v>0.21947916666666667</v>
      </c>
      <c r="E83" s="21">
        <f t="shared" si="13"/>
        <v>4.7592592592592596E-2</v>
      </c>
      <c r="F83" s="20">
        <f t="shared" si="14"/>
        <v>40</v>
      </c>
      <c r="G83" s="22">
        <f t="shared" si="15"/>
        <v>0.54713623850130899</v>
      </c>
    </row>
    <row r="84" spans="1:7" ht="15.5" x14ac:dyDescent="0.35">
      <c r="A84" s="20" t="str">
        <f>[1]Break!A84</f>
        <v>Hyd_Rachna Chauhan (1008594)</v>
      </c>
      <c r="B84" s="20" t="str">
        <f t="shared" si="16"/>
        <v>Rachna Chauhan</v>
      </c>
      <c r="C84" s="21">
        <f t="shared" si="11"/>
        <v>0.3167476851851852</v>
      </c>
      <c r="D84" s="21">
        <f t="shared" si="12"/>
        <v>0.21346064814814814</v>
      </c>
      <c r="E84" s="21">
        <f t="shared" si="13"/>
        <v>2.1064814814814814E-2</v>
      </c>
      <c r="F84" s="20">
        <f t="shared" si="14"/>
        <v>41</v>
      </c>
      <c r="G84" s="22">
        <f t="shared" si="15"/>
        <v>0.61457229509993805</v>
      </c>
    </row>
    <row r="85" spans="1:7" ht="15.5" x14ac:dyDescent="0.35">
      <c r="A85" s="20" t="str">
        <f>[1]Break!A85</f>
        <v>Hyd_Raj Kumar (1008595)</v>
      </c>
      <c r="B85" s="20" t="str">
        <f t="shared" si="16"/>
        <v>Raj Kumar</v>
      </c>
      <c r="C85" s="21">
        <f t="shared" si="11"/>
        <v>0.34024305555555556</v>
      </c>
      <c r="D85" s="21">
        <f t="shared" si="12"/>
        <v>0.21100694444444446</v>
      </c>
      <c r="E85" s="21">
        <f t="shared" si="13"/>
        <v>4.7731481481481479E-2</v>
      </c>
      <c r="F85" s="20">
        <f t="shared" si="14"/>
        <v>42</v>
      </c>
      <c r="G85" s="22">
        <f t="shared" si="15"/>
        <v>0.55335578460387103</v>
      </c>
    </row>
    <row r="86" spans="1:7" ht="15.5" x14ac:dyDescent="0.35">
      <c r="A86" s="20" t="str">
        <f>[1]Break!A86</f>
        <v>Hyd_Rajeev Garg (1008596)</v>
      </c>
      <c r="B86" s="20" t="str">
        <f t="shared" si="16"/>
        <v>Rajeev Garg</v>
      </c>
      <c r="C86" s="21">
        <f t="shared" si="11"/>
        <v>0.33611111111111114</v>
      </c>
      <c r="D86" s="21">
        <f t="shared" si="12"/>
        <v>0.21214120370370371</v>
      </c>
      <c r="E86" s="21">
        <f t="shared" si="13"/>
        <v>4.7500000000000001E-2</v>
      </c>
      <c r="F86" s="20">
        <f t="shared" si="14"/>
        <v>43</v>
      </c>
      <c r="G86" s="22">
        <f t="shared" si="15"/>
        <v>0.611363636363636</v>
      </c>
    </row>
    <row r="87" spans="1:7" ht="15.5" x14ac:dyDescent="0.35">
      <c r="A87" s="20" t="str">
        <f>[1]Break!A87</f>
        <v>Hyd_Rajeev Kumar (1008597)</v>
      </c>
      <c r="B87" s="20" t="str">
        <f t="shared" si="16"/>
        <v>Rajeev Kumar</v>
      </c>
      <c r="C87" s="21">
        <f t="shared" si="11"/>
        <v>0.3331365740740741</v>
      </c>
      <c r="D87" s="21">
        <f t="shared" si="12"/>
        <v>0.18670138888888888</v>
      </c>
      <c r="E87" s="21">
        <f t="shared" si="13"/>
        <v>6.7430555555555549E-2</v>
      </c>
      <c r="F87" s="20">
        <f t="shared" si="14"/>
        <v>44</v>
      </c>
      <c r="G87" s="22">
        <f t="shared" si="15"/>
        <v>0.51217732689434703</v>
      </c>
    </row>
    <row r="88" spans="1:7" ht="15.5" x14ac:dyDescent="0.35">
      <c r="A88" s="20" t="str">
        <f>[1]Break!A88</f>
        <v>Hyd_Rajendra Gupta (1008598)</v>
      </c>
      <c r="B88" s="20" t="str">
        <f t="shared" si="16"/>
        <v>Rajendra Gupta</v>
      </c>
      <c r="C88" s="21">
        <f t="shared" si="11"/>
        <v>0.35135416666666669</v>
      </c>
      <c r="D88" s="21">
        <f t="shared" si="12"/>
        <v>0.20708333333333334</v>
      </c>
      <c r="E88" s="21">
        <f t="shared" si="13"/>
        <v>5.4953703703703706E-2</v>
      </c>
      <c r="F88" s="20">
        <f t="shared" si="14"/>
        <v>45</v>
      </c>
      <c r="G88" s="22">
        <f t="shared" si="15"/>
        <v>0.56029910728991705</v>
      </c>
    </row>
    <row r="89" spans="1:7" ht="15.5" x14ac:dyDescent="0.35">
      <c r="A89" s="20" t="str">
        <f>[1]Break!A89</f>
        <v>Hyd_Rajendra Kumar (1008599)</v>
      </c>
      <c r="B89" s="20" t="str">
        <f t="shared" si="16"/>
        <v>Rajendra Kumar</v>
      </c>
      <c r="C89" s="21">
        <f t="shared" si="11"/>
        <v>0.34356481481481482</v>
      </c>
      <c r="D89" s="21">
        <f t="shared" si="12"/>
        <v>0.16344907407407408</v>
      </c>
      <c r="E89" s="21">
        <f t="shared" si="13"/>
        <v>0.10712962962962963</v>
      </c>
      <c r="F89" s="20">
        <f t="shared" si="14"/>
        <v>46</v>
      </c>
      <c r="G89" s="22">
        <f t="shared" si="15"/>
        <v>0.42891793558819602</v>
      </c>
    </row>
    <row r="90" spans="1:7" ht="15.5" x14ac:dyDescent="0.35">
      <c r="A90" s="20" t="str">
        <f>[1]Break!A90</f>
        <v>Hyd_Rajendra Prasad (1008600)</v>
      </c>
      <c r="B90" s="20" t="str">
        <f t="shared" si="16"/>
        <v>Rajendra Prasad</v>
      </c>
      <c r="C90" s="21">
        <f t="shared" si="11"/>
        <v>0.34900462962962964</v>
      </c>
      <c r="D90" s="21">
        <f t="shared" si="12"/>
        <v>3.3715277777777775E-2</v>
      </c>
      <c r="E90" s="21">
        <f t="shared" si="13"/>
        <v>0.29744212962962963</v>
      </c>
      <c r="F90" s="20">
        <f t="shared" si="14"/>
        <v>47</v>
      </c>
      <c r="G90" s="22">
        <f t="shared" si="15"/>
        <v>9.4547987000066294E-2</v>
      </c>
    </row>
    <row r="91" spans="1:7" ht="15.5" x14ac:dyDescent="0.35">
      <c r="A91" s="20" t="str">
        <f>[1]Break!A91</f>
        <v>Hyd_Rajesh Kumar (1008601)</v>
      </c>
      <c r="B91" s="20" t="str">
        <f t="shared" si="16"/>
        <v>Rajesh Kumar</v>
      </c>
      <c r="C91" s="21">
        <f t="shared" si="11"/>
        <v>0.33378472222222222</v>
      </c>
      <c r="D91" s="21">
        <f t="shared" si="12"/>
        <v>0.21655092592592592</v>
      </c>
      <c r="E91" s="21">
        <f t="shared" si="13"/>
        <v>5.0046296296296297E-2</v>
      </c>
      <c r="F91" s="20">
        <f t="shared" si="14"/>
        <v>48</v>
      </c>
      <c r="G91" s="22">
        <f t="shared" si="15"/>
        <v>0.61021533340268397</v>
      </c>
    </row>
    <row r="92" spans="1:7" ht="15.5" x14ac:dyDescent="0.35">
      <c r="A92" s="20" t="str">
        <f>[1]Break!A92</f>
        <v>Hyd_Rajesh Kumar (1008602)</v>
      </c>
      <c r="B92" s="20" t="str">
        <f t="shared" si="16"/>
        <v>Rajesh Kumar</v>
      </c>
      <c r="C92" s="21">
        <f t="shared" si="11"/>
        <v>0.34559027777777779</v>
      </c>
      <c r="D92" s="21">
        <f t="shared" si="12"/>
        <v>0.2011574074074074</v>
      </c>
      <c r="E92" s="21">
        <f t="shared" si="13"/>
        <v>8.790509259259259E-2</v>
      </c>
      <c r="F92" s="20">
        <f t="shared" si="14"/>
        <v>49</v>
      </c>
      <c r="G92" s="22">
        <f t="shared" si="15"/>
        <v>0.51260926353863201</v>
      </c>
    </row>
    <row r="93" spans="1:7" ht="15.5" x14ac:dyDescent="0.35">
      <c r="A93" s="20" t="str">
        <f>[1]Break!A93</f>
        <v>Hyd_Rajesh Sharma (1008603)</v>
      </c>
      <c r="B93" s="20" t="str">
        <f t="shared" si="16"/>
        <v>Rajesh Sharma</v>
      </c>
      <c r="C93" s="21">
        <f t="shared" si="11"/>
        <v>0.2114699074074074</v>
      </c>
      <c r="D93" s="21">
        <f t="shared" si="12"/>
        <v>0.14190972222222223</v>
      </c>
      <c r="E93" s="21">
        <f t="shared" si="13"/>
        <v>1.6979166666666667E-2</v>
      </c>
      <c r="F93" s="20">
        <f t="shared" si="14"/>
        <v>50</v>
      </c>
      <c r="G93" s="22">
        <f t="shared" si="15"/>
        <v>0.62426796562859199</v>
      </c>
    </row>
    <row r="94" spans="1:7" ht="15.5" x14ac:dyDescent="0.35">
      <c r="A94" s="20" t="str">
        <f>[1]Break!A94</f>
        <v>Hyd_Raji Abraham (1008604)</v>
      </c>
      <c r="B94" s="20" t="str">
        <f t="shared" si="16"/>
        <v>Raji Abraham</v>
      </c>
      <c r="C94" s="21">
        <f t="shared" si="11"/>
        <v>0.34075231481481483</v>
      </c>
      <c r="D94" s="21">
        <f t="shared" si="12"/>
        <v>0.19762731481481483</v>
      </c>
      <c r="E94" s="21">
        <f t="shared" si="13"/>
        <v>4.8240740740740744E-2</v>
      </c>
      <c r="F94" s="20">
        <f t="shared" si="14"/>
        <v>51</v>
      </c>
      <c r="G94" s="22">
        <f t="shared" si="15"/>
        <v>0.54373153085832704</v>
      </c>
    </row>
    <row r="95" spans="1:7" ht="15.5" x14ac:dyDescent="0.35">
      <c r="A95" s="20" t="str">
        <f>[1]Break!A95</f>
        <v>Hyd_Rajshree Dhabekar (1008605)</v>
      </c>
      <c r="B95" s="20" t="str">
        <f t="shared" si="16"/>
        <v>Rajshree Dhabekar</v>
      </c>
      <c r="C95" s="21">
        <f t="shared" si="11"/>
        <v>0.34390046296296295</v>
      </c>
      <c r="D95" s="21" t="e">
        <f t="shared" si="12"/>
        <v>#VALUE!</v>
      </c>
      <c r="E95" s="21">
        <f t="shared" si="13"/>
        <v>0.34385416666666668</v>
      </c>
      <c r="F95" s="20">
        <f t="shared" si="14"/>
        <v>52</v>
      </c>
      <c r="G95" s="22">
        <f t="shared" si="15"/>
        <v>0</v>
      </c>
    </row>
    <row r="96" spans="1:7" ht="15.5" x14ac:dyDescent="0.35">
      <c r="A96" s="20" t="str">
        <f>[1]Break!A96</f>
        <v>Hyd_Rakhi Jodhani (1008606)</v>
      </c>
      <c r="B96" s="20" t="str">
        <f t="shared" si="16"/>
        <v>Rakhi Jodhani</v>
      </c>
      <c r="C96" s="21">
        <f t="shared" si="11"/>
        <v>0.33532407407407405</v>
      </c>
      <c r="D96" s="21">
        <f t="shared" si="12"/>
        <v>5.0763888888888886E-2</v>
      </c>
      <c r="E96" s="21">
        <f t="shared" si="13"/>
        <v>0.27759259259259261</v>
      </c>
      <c r="F96" s="20">
        <f t="shared" si="14"/>
        <v>53</v>
      </c>
      <c r="G96" s="22">
        <f t="shared" si="15"/>
        <v>0.14431174927516199</v>
      </c>
    </row>
    <row r="97" spans="1:7" ht="15.5" x14ac:dyDescent="0.35">
      <c r="A97" s="20" t="str">
        <f>[1]Break!A97</f>
        <v>Hyd_Ramji Prasad (1008607)</v>
      </c>
      <c r="B97" s="20" t="str">
        <f t="shared" si="16"/>
        <v>Ramji Prasad</v>
      </c>
      <c r="C97" s="21">
        <f t="shared" si="11"/>
        <v>0.34682870370370372</v>
      </c>
      <c r="D97" s="21">
        <f t="shared" si="12"/>
        <v>0.20351851851851852</v>
      </c>
      <c r="E97" s="21">
        <f t="shared" si="13"/>
        <v>5.122685185185185E-2</v>
      </c>
      <c r="F97" s="20">
        <f t="shared" si="14"/>
        <v>54</v>
      </c>
      <c r="G97" s="22">
        <f t="shared" si="15"/>
        <v>0.55259293866381898</v>
      </c>
    </row>
    <row r="98" spans="1:7" ht="15.5" x14ac:dyDescent="0.35">
      <c r="A98" s="20" t="str">
        <f>[1]Break!A98</f>
        <v>Del_Rashid (1008608)</v>
      </c>
      <c r="B98" s="20" t="str">
        <f t="shared" si="16"/>
        <v>Rashid</v>
      </c>
      <c r="C98" s="21">
        <f t="shared" ref="C98:C129" si="17">TIMEVALUE(VLOOKUP(A98,EData,2,0))</f>
        <v>0.33483796296296298</v>
      </c>
      <c r="D98" s="21">
        <f t="shared" ref="D98:D129" si="18">TIMEVALUE(VLOOKUP(A98,EData,3,0))</f>
        <v>6.6759259259259254E-2</v>
      </c>
      <c r="E98" s="21">
        <f t="shared" ref="E98:E129" si="19">TIMEVALUE(VLOOKUP(A98,BData,9,0))</f>
        <v>0.23973379629629629</v>
      </c>
      <c r="F98" s="20">
        <f t="shared" ref="F98:F129" si="20">VLOOKUP(A98,PData,2,0)</f>
        <v>55</v>
      </c>
      <c r="G98" s="22">
        <f t="shared" ref="G98:G129" si="21">VLOOKUP(A98,EData,6,0)</f>
        <v>0.18938817836156199</v>
      </c>
    </row>
    <row r="99" spans="1:7" ht="15.5" x14ac:dyDescent="0.35">
      <c r="A99" s="20" t="str">
        <f>[1]Break!A99</f>
        <v>Del_Rashmi Gajbe (1008609)</v>
      </c>
      <c r="B99" s="20" t="str">
        <f t="shared" si="16"/>
        <v>Rashmi Gajbe</v>
      </c>
      <c r="C99" s="21">
        <f t="shared" si="17"/>
        <v>0.34770833333333334</v>
      </c>
      <c r="D99" s="21">
        <f t="shared" si="18"/>
        <v>0.1784375</v>
      </c>
      <c r="E99" s="21">
        <f t="shared" si="19"/>
        <v>8.6782407407407405E-2</v>
      </c>
      <c r="F99" s="20">
        <f t="shared" si="20"/>
        <v>56</v>
      </c>
      <c r="G99" s="22">
        <f t="shared" si="21"/>
        <v>0.47077424938419499</v>
      </c>
    </row>
    <row r="100" spans="1:7" ht="15.5" x14ac:dyDescent="0.35">
      <c r="A100" s="20" t="str">
        <f>[1]Break!A100</f>
        <v>Del_Ravi Kumar (1008610)</v>
      </c>
      <c r="B100" s="20" t="str">
        <f t="shared" si="16"/>
        <v>Ravi Kumar</v>
      </c>
      <c r="C100" s="21">
        <f t="shared" si="17"/>
        <v>0.33384259259259258</v>
      </c>
      <c r="D100" s="21">
        <f t="shared" si="18"/>
        <v>0.19934027777777777</v>
      </c>
      <c r="E100" s="21">
        <f t="shared" si="19"/>
        <v>4.9467592592592591E-2</v>
      </c>
      <c r="F100" s="20">
        <f t="shared" si="20"/>
        <v>57</v>
      </c>
      <c r="G100" s="22">
        <f t="shared" si="21"/>
        <v>0.53862155040909698</v>
      </c>
    </row>
    <row r="101" spans="1:7" ht="15.5" x14ac:dyDescent="0.35">
      <c r="A101" s="20" t="str">
        <f>[1]Break!A101</f>
        <v>Del_Ravinder Kaur (1008611)</v>
      </c>
      <c r="B101" s="20" t="str">
        <f t="shared" si="16"/>
        <v>Ravinder Kaur</v>
      </c>
      <c r="C101" s="21">
        <f t="shared" si="17"/>
        <v>0.3346412037037037</v>
      </c>
      <c r="D101" s="21">
        <f t="shared" si="18"/>
        <v>0.19371527777777778</v>
      </c>
      <c r="E101" s="21">
        <f t="shared" si="19"/>
        <v>4.8240740740740744E-2</v>
      </c>
      <c r="F101" s="20">
        <f t="shared" si="20"/>
        <v>58</v>
      </c>
      <c r="G101" s="22">
        <f t="shared" si="21"/>
        <v>0.53294365856189296</v>
      </c>
    </row>
    <row r="102" spans="1:7" ht="15.5" x14ac:dyDescent="0.35">
      <c r="A102" s="20" t="str">
        <f>[1]Break!A102</f>
        <v>Del_Rekha Agarwal (1008612)</v>
      </c>
      <c r="B102" s="20" t="str">
        <f t="shared" si="16"/>
        <v>Rekha Agarwal</v>
      </c>
      <c r="C102" s="21">
        <f t="shared" si="17"/>
        <v>0.24574074074074073</v>
      </c>
      <c r="D102" s="21">
        <f t="shared" si="18"/>
        <v>0.12021990740740741</v>
      </c>
      <c r="E102" s="21">
        <f t="shared" si="19"/>
        <v>0.11229166666666666</v>
      </c>
      <c r="F102" s="20">
        <f t="shared" si="20"/>
        <v>59</v>
      </c>
      <c r="G102" s="22">
        <f t="shared" si="21"/>
        <v>0.41310286360211002</v>
      </c>
    </row>
    <row r="103" spans="1:7" ht="15.5" x14ac:dyDescent="0.35">
      <c r="A103" s="20" t="str">
        <f>[1]Break!A103</f>
        <v>Del_Rekha Gupta (1008613)</v>
      </c>
      <c r="B103" s="20" t="str">
        <f t="shared" si="16"/>
        <v>Rekha Gupta</v>
      </c>
      <c r="C103" s="21">
        <f t="shared" si="17"/>
        <v>0.34446759259259258</v>
      </c>
      <c r="D103" s="21">
        <f t="shared" si="18"/>
        <v>0.18254629629629629</v>
      </c>
      <c r="E103" s="21">
        <f t="shared" si="19"/>
        <v>7.6817129629629624E-2</v>
      </c>
      <c r="F103" s="20">
        <f t="shared" si="20"/>
        <v>60</v>
      </c>
      <c r="G103" s="22">
        <f t="shared" si="21"/>
        <v>0.50483838451717</v>
      </c>
    </row>
    <row r="104" spans="1:7" ht="15.5" x14ac:dyDescent="0.35">
      <c r="A104" s="20" t="str">
        <f>[1]Break!A104</f>
        <v>Del_Rekha Jain  (1008614)</v>
      </c>
      <c r="B104" s="20" t="str">
        <f t="shared" si="16"/>
        <v xml:space="preserve">Rekha Jain </v>
      </c>
      <c r="C104" s="21">
        <f t="shared" si="17"/>
        <v>0.34423611111111113</v>
      </c>
      <c r="D104" s="21">
        <f t="shared" si="18"/>
        <v>0.18436342592592592</v>
      </c>
      <c r="E104" s="21">
        <f t="shared" si="19"/>
        <v>6.7326388888888894E-2</v>
      </c>
      <c r="F104" s="20">
        <f t="shared" si="20"/>
        <v>61</v>
      </c>
      <c r="G104" s="22">
        <f t="shared" si="21"/>
        <v>0.52390558805729304</v>
      </c>
    </row>
    <row r="105" spans="1:7" ht="15.5" x14ac:dyDescent="0.35">
      <c r="A105" s="20" t="str">
        <f>[1]Break!A105</f>
        <v>Del_Renu Pratap (1008615)</v>
      </c>
      <c r="B105" s="20" t="str">
        <f t="shared" si="16"/>
        <v>Renu Pratap</v>
      </c>
      <c r="C105" s="21">
        <f t="shared" si="17"/>
        <v>0.34479166666666666</v>
      </c>
      <c r="D105" s="21">
        <f t="shared" si="18"/>
        <v>0.10450231481481481</v>
      </c>
      <c r="E105" s="21">
        <f t="shared" si="19"/>
        <v>0.21383101851851852</v>
      </c>
      <c r="F105" s="20">
        <f t="shared" si="20"/>
        <v>62</v>
      </c>
      <c r="G105" s="22">
        <f t="shared" si="21"/>
        <v>0.25444780127559602</v>
      </c>
    </row>
    <row r="106" spans="1:7" ht="15.5" x14ac:dyDescent="0.35">
      <c r="A106" s="20" t="str">
        <f>[1]Break!A106</f>
        <v>Del_Ritu Bhatnagar (1008616)</v>
      </c>
      <c r="B106" s="20" t="str">
        <f t="shared" si="16"/>
        <v>Ritu Bhatnagar</v>
      </c>
      <c r="C106" s="21">
        <f t="shared" si="17"/>
        <v>0.33458333333333334</v>
      </c>
      <c r="D106" s="21">
        <f t="shared" si="18"/>
        <v>0.20292824074074073</v>
      </c>
      <c r="E106" s="21">
        <f t="shared" si="19"/>
        <v>5.0925925925925923E-2</v>
      </c>
      <c r="F106" s="20">
        <f t="shared" si="20"/>
        <v>63</v>
      </c>
      <c r="G106" s="22">
        <f t="shared" si="21"/>
        <v>0.55517503805174995</v>
      </c>
    </row>
    <row r="107" spans="1:7" ht="15.5" x14ac:dyDescent="0.35">
      <c r="A107" s="20" t="str">
        <f>[1]Break!A107</f>
        <v>Del_Rohit Nishchal (1008617)</v>
      </c>
      <c r="B107" s="20" t="str">
        <f t="shared" si="16"/>
        <v>Rohit Nishchal</v>
      </c>
      <c r="C107" s="21">
        <f t="shared" si="17"/>
        <v>0.34524305555555557</v>
      </c>
      <c r="D107" s="21" t="e">
        <f t="shared" si="18"/>
        <v>#VALUE!</v>
      </c>
      <c r="E107" s="21">
        <f t="shared" si="19"/>
        <v>0.34513888888888888</v>
      </c>
      <c r="F107" s="20">
        <f t="shared" si="20"/>
        <v>64</v>
      </c>
      <c r="G107" s="22">
        <f t="shared" si="21"/>
        <v>0</v>
      </c>
    </row>
    <row r="108" spans="1:7" ht="15.5" x14ac:dyDescent="0.35">
      <c r="A108" s="20" t="str">
        <f>[1]Break!A108</f>
        <v>Del_Roli Bhatnagar (1008618)</v>
      </c>
      <c r="B108" s="20" t="str">
        <f t="shared" si="16"/>
        <v>Roli Bhatnagar</v>
      </c>
      <c r="C108" s="21">
        <f t="shared" si="17"/>
        <v>0.34424768518518517</v>
      </c>
      <c r="D108" s="21">
        <f t="shared" si="18"/>
        <v>0.17256944444444444</v>
      </c>
      <c r="E108" s="21">
        <f t="shared" si="19"/>
        <v>9.0462962962962967E-2</v>
      </c>
      <c r="F108" s="20">
        <f t="shared" si="20"/>
        <v>65</v>
      </c>
      <c r="G108" s="22">
        <f t="shared" si="21"/>
        <v>0.477120667047709</v>
      </c>
    </row>
    <row r="109" spans="1:7" ht="15.5" x14ac:dyDescent="0.35">
      <c r="A109" s="20" t="str">
        <f>[1]Break!A109</f>
        <v>Del_Roma Rastogi (1008619)</v>
      </c>
      <c r="B109" s="20" t="str">
        <f t="shared" si="16"/>
        <v>Roma Rastogi</v>
      </c>
      <c r="C109" s="21">
        <f t="shared" si="17"/>
        <v>0.35488425925925926</v>
      </c>
      <c r="D109" s="21">
        <f t="shared" si="18"/>
        <v>0.2330787037037037</v>
      </c>
      <c r="E109" s="21">
        <f t="shared" si="19"/>
        <v>3.7349537037037035E-2</v>
      </c>
      <c r="F109" s="20">
        <f t="shared" si="20"/>
        <v>66</v>
      </c>
      <c r="G109" s="22">
        <f t="shared" si="21"/>
        <v>0.61917030852521004</v>
      </c>
    </row>
    <row r="110" spans="1:7" ht="15.5" x14ac:dyDescent="0.35">
      <c r="A110" s="20" t="str">
        <f>[1]Break!A110</f>
        <v>Del_Roohi Haider (1008620)</v>
      </c>
      <c r="B110" s="20" t="str">
        <f t="shared" si="16"/>
        <v>Roohi Haider</v>
      </c>
      <c r="C110" s="21">
        <f t="shared" si="17"/>
        <v>0.33346064814814813</v>
      </c>
      <c r="D110" s="21">
        <f t="shared" si="18"/>
        <v>0.2029050925925926</v>
      </c>
      <c r="E110" s="21">
        <f t="shared" si="19"/>
        <v>4.8194444444444443E-2</v>
      </c>
      <c r="F110" s="20">
        <f t="shared" si="20"/>
        <v>67</v>
      </c>
      <c r="G110" s="22">
        <f t="shared" si="21"/>
        <v>0.55305265350039901</v>
      </c>
    </row>
    <row r="111" spans="1:7" ht="15.5" x14ac:dyDescent="0.35">
      <c r="A111" s="20" t="str">
        <f>[1]Break!A111</f>
        <v>Del_Sajid Naqvi (1008621)</v>
      </c>
      <c r="B111" s="20" t="str">
        <f t="shared" si="16"/>
        <v>Sajid Naqvi</v>
      </c>
      <c r="C111" s="21">
        <f t="shared" si="17"/>
        <v>0.34430555555555553</v>
      </c>
      <c r="D111" s="21">
        <f t="shared" si="18"/>
        <v>0.20876157407407409</v>
      </c>
      <c r="E111" s="21">
        <f t="shared" si="19"/>
        <v>4.7685185185185185E-2</v>
      </c>
      <c r="F111" s="20">
        <f t="shared" si="20"/>
        <v>68</v>
      </c>
      <c r="G111" s="22">
        <f t="shared" si="21"/>
        <v>0.56195374478956595</v>
      </c>
    </row>
    <row r="112" spans="1:7" ht="15.5" x14ac:dyDescent="0.35">
      <c r="A112" s="20" t="str">
        <f>[1]Break!A112</f>
        <v>Del_Salim (1008622)</v>
      </c>
      <c r="B112" s="20" t="str">
        <f t="shared" si="16"/>
        <v>Salim</v>
      </c>
      <c r="C112" s="21">
        <f t="shared" si="17"/>
        <v>0.34439814814814818</v>
      </c>
      <c r="D112" s="21">
        <f t="shared" si="18"/>
        <v>0.19284722222222223</v>
      </c>
      <c r="E112" s="21">
        <f t="shared" si="19"/>
        <v>8.2974537037037041E-2</v>
      </c>
      <c r="F112" s="20">
        <f t="shared" si="20"/>
        <v>69</v>
      </c>
      <c r="G112" s="22">
        <f t="shared" si="21"/>
        <v>0.48780077967468699</v>
      </c>
    </row>
    <row r="113" spans="1:7" ht="15.5" x14ac:dyDescent="0.35">
      <c r="A113" s="20" t="str">
        <f>[1]Break!A113</f>
        <v>Del_Sanjay Hire (1008623)</v>
      </c>
      <c r="B113" s="20" t="str">
        <f t="shared" si="16"/>
        <v>Sanjay Hire</v>
      </c>
      <c r="C113" s="21">
        <f t="shared" si="17"/>
        <v>0.34435185185185185</v>
      </c>
      <c r="D113" s="21">
        <f t="shared" si="18"/>
        <v>0.20849537037037036</v>
      </c>
      <c r="E113" s="21">
        <f t="shared" si="19"/>
        <v>4.8414351851851854E-2</v>
      </c>
      <c r="F113" s="20">
        <f t="shared" si="20"/>
        <v>70</v>
      </c>
      <c r="G113" s="22">
        <f t="shared" si="21"/>
        <v>0.55414762032804499</v>
      </c>
    </row>
    <row r="114" spans="1:7" ht="15.5" x14ac:dyDescent="0.35">
      <c r="A114" s="20" t="str">
        <f>[1]Break!A114</f>
        <v>Del_Sanjiv Subherwal (1008624)</v>
      </c>
      <c r="B114" s="20" t="str">
        <f t="shared" si="16"/>
        <v>Sanjiv Subherwal</v>
      </c>
      <c r="C114" s="21">
        <f t="shared" si="17"/>
        <v>0.33491898148148147</v>
      </c>
      <c r="D114" s="21">
        <f t="shared" si="18"/>
        <v>0.21258101851851852</v>
      </c>
      <c r="E114" s="21">
        <f t="shared" si="19"/>
        <v>4.8784722222222222E-2</v>
      </c>
      <c r="F114" s="20">
        <f t="shared" si="20"/>
        <v>71</v>
      </c>
      <c r="G114" s="22">
        <f t="shared" si="21"/>
        <v>0.58651553374572396</v>
      </c>
    </row>
    <row r="115" spans="1:7" ht="15.5" x14ac:dyDescent="0.35">
      <c r="A115" s="20" t="str">
        <f>[1]Break!A115</f>
        <v>Del_Sanju Ramdas (1008625)</v>
      </c>
      <c r="B115" s="20" t="str">
        <f t="shared" si="16"/>
        <v>Sanju Ramdas</v>
      </c>
      <c r="C115" s="21">
        <f t="shared" si="17"/>
        <v>0.34442129629629631</v>
      </c>
      <c r="D115" s="21">
        <f t="shared" si="18"/>
        <v>0.22203703703703703</v>
      </c>
      <c r="E115" s="21">
        <f t="shared" si="19"/>
        <v>5.1342592592592592E-2</v>
      </c>
      <c r="F115" s="20">
        <f t="shared" si="20"/>
        <v>72</v>
      </c>
      <c r="G115" s="22">
        <f t="shared" si="21"/>
        <v>0.58165871362322696</v>
      </c>
    </row>
    <row r="116" spans="1:7" ht="15.5" x14ac:dyDescent="0.35">
      <c r="A116" s="20" t="str">
        <f>[1]Break!A116</f>
        <v>Del_Santosh Kumar (1008626)</v>
      </c>
      <c r="B116" s="20" t="str">
        <f t="shared" si="16"/>
        <v>Santosh Kumar</v>
      </c>
      <c r="C116" s="21">
        <f t="shared" si="17"/>
        <v>0.33370370370370372</v>
      </c>
      <c r="D116" s="21">
        <f t="shared" si="18"/>
        <v>0.21053240740740742</v>
      </c>
      <c r="E116" s="21">
        <f t="shared" si="19"/>
        <v>4.8472222222222222E-2</v>
      </c>
      <c r="F116" s="20">
        <f t="shared" si="20"/>
        <v>73</v>
      </c>
      <c r="G116" s="22">
        <f t="shared" si="21"/>
        <v>0.59073251942286398</v>
      </c>
    </row>
    <row r="117" spans="1:7" ht="15.5" x14ac:dyDescent="0.35">
      <c r="A117" s="20" t="str">
        <f>[1]Break!A117</f>
        <v>Del_Santosh Kumar (1008627)</v>
      </c>
      <c r="B117" s="20" t="str">
        <f t="shared" si="16"/>
        <v>Santosh Kumar</v>
      </c>
      <c r="C117" s="21">
        <f t="shared" si="17"/>
        <v>0.34518518518518521</v>
      </c>
      <c r="D117" s="21">
        <f t="shared" si="18"/>
        <v>0.21524305555555556</v>
      </c>
      <c r="E117" s="21">
        <f t="shared" si="19"/>
        <v>4.9282407407407407E-2</v>
      </c>
      <c r="F117" s="20">
        <f t="shared" si="20"/>
        <v>74</v>
      </c>
      <c r="G117" s="22">
        <f t="shared" si="21"/>
        <v>0.58640692060085797</v>
      </c>
    </row>
    <row r="118" spans="1:7" ht="15.5" x14ac:dyDescent="0.35">
      <c r="A118" s="20" t="str">
        <f>[1]Break!A118</f>
        <v>Del_Santosh Kumar (1008628)</v>
      </c>
      <c r="B118" s="20" t="str">
        <f t="shared" si="16"/>
        <v>Santosh Kumar</v>
      </c>
      <c r="C118" s="21">
        <f t="shared" si="17"/>
        <v>0.3354050925925926</v>
      </c>
      <c r="D118" s="21">
        <f t="shared" si="18"/>
        <v>0.19744212962962962</v>
      </c>
      <c r="E118" s="21">
        <f t="shared" si="19"/>
        <v>5.0011574074074076E-2</v>
      </c>
      <c r="F118" s="20">
        <f t="shared" si="20"/>
        <v>75</v>
      </c>
      <c r="G118" s="22">
        <f t="shared" si="21"/>
        <v>0.54653369681493502</v>
      </c>
    </row>
    <row r="119" spans="1:7" ht="15.5" x14ac:dyDescent="0.35">
      <c r="A119" s="20" t="str">
        <f>[1]Break!A119</f>
        <v>Del_Sapna Sharma (1008629)</v>
      </c>
      <c r="B119" s="20" t="str">
        <f t="shared" si="16"/>
        <v>Sapna Sharma</v>
      </c>
      <c r="C119" s="21">
        <f t="shared" si="17"/>
        <v>0.33627314814814813</v>
      </c>
      <c r="D119" s="21">
        <f t="shared" si="18"/>
        <v>0.18991898148148148</v>
      </c>
      <c r="E119" s="21">
        <f t="shared" si="19"/>
        <v>6.4317129629629627E-2</v>
      </c>
      <c r="F119" s="20">
        <f t="shared" si="20"/>
        <v>76</v>
      </c>
      <c r="G119" s="22">
        <f t="shared" si="21"/>
        <v>0.53238796723342696</v>
      </c>
    </row>
    <row r="120" spans="1:7" ht="15.5" x14ac:dyDescent="0.35">
      <c r="A120" s="20" t="str">
        <f>[1]Break!A120</f>
        <v>Del_Saroj Parita (1008630)</v>
      </c>
      <c r="B120" s="20" t="str">
        <f t="shared" si="16"/>
        <v>Saroj Parita</v>
      </c>
      <c r="C120" s="21">
        <f t="shared" si="17"/>
        <v>0.33471064814814816</v>
      </c>
      <c r="D120" s="21">
        <f t="shared" si="18"/>
        <v>0.18868055555555555</v>
      </c>
      <c r="E120" s="21">
        <f t="shared" si="19"/>
        <v>7.3344907407407414E-2</v>
      </c>
      <c r="F120" s="20">
        <f t="shared" si="20"/>
        <v>77</v>
      </c>
      <c r="G120" s="22">
        <f t="shared" si="21"/>
        <v>0.47020989660776702</v>
      </c>
    </row>
    <row r="121" spans="1:7" ht="15.5" x14ac:dyDescent="0.35">
      <c r="A121" s="20" t="str">
        <f>[1]Break!A121</f>
        <v>Del_Shailaja Kamal (1008631)</v>
      </c>
      <c r="B121" s="20" t="str">
        <f t="shared" si="16"/>
        <v>Shailaja Kamal</v>
      </c>
      <c r="C121" s="21">
        <f t="shared" si="17"/>
        <v>0.33974537037037039</v>
      </c>
      <c r="D121" s="21">
        <f t="shared" si="18"/>
        <v>0.20261574074074074</v>
      </c>
      <c r="E121" s="21">
        <f t="shared" si="19"/>
        <v>4.7754629629629633E-2</v>
      </c>
      <c r="F121" s="20">
        <f t="shared" si="20"/>
        <v>78</v>
      </c>
      <c r="G121" s="22">
        <f t="shared" si="21"/>
        <v>0.54633099407235797</v>
      </c>
    </row>
    <row r="122" spans="1:7" ht="15.5" x14ac:dyDescent="0.35">
      <c r="A122" s="20" t="str">
        <f>[1]Break!A122</f>
        <v>Del_Shailendra Barge (1008632)</v>
      </c>
      <c r="B122" s="20" t="str">
        <f t="shared" si="16"/>
        <v>Shailendra Barge</v>
      </c>
      <c r="C122" s="21">
        <f t="shared" si="17"/>
        <v>0.34557870370370369</v>
      </c>
      <c r="D122" s="21">
        <f t="shared" si="18"/>
        <v>0.14315972222222223</v>
      </c>
      <c r="E122" s="21">
        <f t="shared" si="19"/>
        <v>0.15493055555555554</v>
      </c>
      <c r="F122" s="20">
        <f t="shared" si="20"/>
        <v>79</v>
      </c>
      <c r="G122" s="22">
        <f t="shared" si="21"/>
        <v>0.38820416638756799</v>
      </c>
    </row>
    <row r="123" spans="1:7" ht="15.5" x14ac:dyDescent="0.35">
      <c r="A123" s="20" t="str">
        <f>[1]Break!A123</f>
        <v>Del_Shankar Attendant (1008633)</v>
      </c>
      <c r="B123" s="20" t="str">
        <f t="shared" si="16"/>
        <v>Shankar Attendant</v>
      </c>
      <c r="C123" s="21">
        <f t="shared" si="17"/>
        <v>0.33189814814814816</v>
      </c>
      <c r="D123" s="21">
        <f t="shared" si="18"/>
        <v>0.1439236111111111</v>
      </c>
      <c r="E123" s="21">
        <f t="shared" si="19"/>
        <v>0.13547453703703705</v>
      </c>
      <c r="F123" s="20">
        <f t="shared" si="20"/>
        <v>80</v>
      </c>
      <c r="G123" s="22">
        <f t="shared" si="21"/>
        <v>0.40277584042404802</v>
      </c>
    </row>
    <row r="124" spans="1:7" ht="15.5" x14ac:dyDescent="0.35">
      <c r="A124" s="20" t="str">
        <f>[1]Break!A124</f>
        <v>Del_Shashikant Tiwari (1008634)</v>
      </c>
      <c r="B124" s="20" t="str">
        <f t="shared" si="16"/>
        <v>Shashikant Tiwari</v>
      </c>
      <c r="C124" s="21">
        <f t="shared" si="17"/>
        <v>0.34369212962962964</v>
      </c>
      <c r="D124" s="21">
        <f t="shared" si="18"/>
        <v>0.22164351851851852</v>
      </c>
      <c r="E124" s="21">
        <f t="shared" si="19"/>
        <v>4.8599537037037038E-2</v>
      </c>
      <c r="F124" s="20">
        <f t="shared" si="20"/>
        <v>81</v>
      </c>
      <c r="G124" s="22">
        <f t="shared" si="21"/>
        <v>0.54352584610203702</v>
      </c>
    </row>
    <row r="125" spans="1:7" ht="15.5" x14ac:dyDescent="0.35">
      <c r="A125" s="20" t="str">
        <f>[1]Break!A125</f>
        <v>Del_Sheeba Joseph (1008635)</v>
      </c>
      <c r="B125" s="20" t="str">
        <f t="shared" si="16"/>
        <v>Sheeba Joseph</v>
      </c>
      <c r="C125" s="21">
        <f t="shared" si="17"/>
        <v>0.3548263888888889</v>
      </c>
      <c r="D125" s="21">
        <f t="shared" si="18"/>
        <v>0.15355324074074075</v>
      </c>
      <c r="E125" s="21">
        <f t="shared" si="19"/>
        <v>3.8645833333333331E-2</v>
      </c>
      <c r="F125" s="20">
        <f t="shared" si="20"/>
        <v>82</v>
      </c>
      <c r="G125" s="22">
        <f t="shared" si="21"/>
        <v>0.28371986821932998</v>
      </c>
    </row>
    <row r="126" spans="1:7" ht="15.5" x14ac:dyDescent="0.35">
      <c r="A126" s="20" t="str">
        <f>[1]Break!A126</f>
        <v>Del_Sheena Joseph (1008636)</v>
      </c>
      <c r="B126" s="20" t="str">
        <f t="shared" si="16"/>
        <v>Sheena Joseph</v>
      </c>
      <c r="C126" s="21">
        <f t="shared" si="17"/>
        <v>0.36775462962962963</v>
      </c>
      <c r="D126" s="21">
        <f t="shared" si="18"/>
        <v>0.21557870370370372</v>
      </c>
      <c r="E126" s="21">
        <f t="shared" si="19"/>
        <v>7.048611111111111E-2</v>
      </c>
      <c r="F126" s="20">
        <f t="shared" si="20"/>
        <v>83</v>
      </c>
      <c r="G126" s="22">
        <f t="shared" si="21"/>
        <v>0.56196890539434796</v>
      </c>
    </row>
    <row r="127" spans="1:7" ht="15.5" x14ac:dyDescent="0.35">
      <c r="A127" s="20" t="str">
        <f>[1]Break!A127</f>
        <v>Del_Shephali Jain (1008637)</v>
      </c>
      <c r="B127" s="20" t="str">
        <f t="shared" si="16"/>
        <v>Shephali Jain</v>
      </c>
      <c r="C127" s="21">
        <f t="shared" si="17"/>
        <v>0.35119212962962965</v>
      </c>
      <c r="D127" s="21">
        <f t="shared" si="18"/>
        <v>0.15380787037037036</v>
      </c>
      <c r="E127" s="21">
        <f t="shared" si="19"/>
        <v>0.14153935185185185</v>
      </c>
      <c r="F127" s="20">
        <f t="shared" si="20"/>
        <v>84</v>
      </c>
      <c r="G127" s="22">
        <f t="shared" si="21"/>
        <v>0.40332201825791802</v>
      </c>
    </row>
    <row r="128" spans="1:7" ht="15.5" x14ac:dyDescent="0.35">
      <c r="A128" s="20" t="str">
        <f>[1]Break!A128</f>
        <v>Del_Shivji Prasad (1008638)</v>
      </c>
      <c r="B128" s="20" t="str">
        <f t="shared" si="16"/>
        <v>Shivji Prasad</v>
      </c>
      <c r="C128" s="21">
        <f t="shared" si="17"/>
        <v>0.34143518518518517</v>
      </c>
      <c r="D128" s="21">
        <f t="shared" si="18"/>
        <v>0.17545138888888889</v>
      </c>
      <c r="E128" s="21">
        <f t="shared" si="19"/>
        <v>9.5694444444444443E-2</v>
      </c>
      <c r="F128" s="20">
        <f t="shared" si="20"/>
        <v>85</v>
      </c>
      <c r="G128" s="22">
        <f t="shared" si="21"/>
        <v>0.43796610169491501</v>
      </c>
    </row>
    <row r="129" spans="1:7" ht="15.5" x14ac:dyDescent="0.35">
      <c r="A129" s="20" t="str">
        <f>[1]Break!A129</f>
        <v>Del_Shubhanjali Joshi (1008639)</v>
      </c>
      <c r="B129" s="20" t="str">
        <f t="shared" si="16"/>
        <v>Shubhanjali Joshi</v>
      </c>
      <c r="C129" s="21">
        <f t="shared" si="17"/>
        <v>0.34533564814814816</v>
      </c>
      <c r="D129" s="21">
        <f t="shared" si="18"/>
        <v>0.20476851851851852</v>
      </c>
      <c r="E129" s="21">
        <f t="shared" si="19"/>
        <v>5.5231481481481479E-2</v>
      </c>
      <c r="F129" s="20">
        <f t="shared" si="20"/>
        <v>86</v>
      </c>
      <c r="G129" s="22">
        <f t="shared" si="21"/>
        <v>0.55581995508931903</v>
      </c>
    </row>
    <row r="130" spans="1:7" ht="15.5" x14ac:dyDescent="0.35">
      <c r="A130" s="20" t="str">
        <f>[1]Break!A130</f>
        <v>Del_Shyamal Malakar (1008640)</v>
      </c>
      <c r="B130" s="20" t="str">
        <f t="shared" si="16"/>
        <v>Shyamal Malakar</v>
      </c>
      <c r="C130" s="21">
        <f t="shared" ref="C130:C150" si="22">TIMEVALUE(VLOOKUP(A130,EData,2,0))</f>
        <v>0.34416666666666668</v>
      </c>
      <c r="D130" s="21">
        <f t="shared" ref="D130:D150" si="23">TIMEVALUE(VLOOKUP(A130,EData,3,0))</f>
        <v>0.12054398148148149</v>
      </c>
      <c r="E130" s="21">
        <f t="shared" ref="E130:E150" si="24">TIMEVALUE(VLOOKUP(A130,BData,9,0))</f>
        <v>0.19140046296296295</v>
      </c>
      <c r="F130" s="20">
        <f t="shared" ref="F130:F150" si="25">VLOOKUP(A130,PData,2,0)</f>
        <v>87</v>
      </c>
      <c r="G130" s="22">
        <f t="shared" ref="G130:G150" si="26">VLOOKUP(A130,EData,6,0)</f>
        <v>0.326035781544256</v>
      </c>
    </row>
    <row r="131" spans="1:7" ht="15.5" x14ac:dyDescent="0.35">
      <c r="A131" s="20" t="str">
        <f>[1]Break!A131</f>
        <v>Del_Sneh Khan (1008641)</v>
      </c>
      <c r="B131" s="20" t="str">
        <f t="shared" ref="B131:B150" si="27">MID(A131,FIND("_",A131,1)+1,FIND("(",A131,1)-FIND("_",A131,1)-2)</f>
        <v>Sneh Khan</v>
      </c>
      <c r="C131" s="21">
        <f t="shared" si="22"/>
        <v>0.33975694444444443</v>
      </c>
      <c r="D131" s="21">
        <f t="shared" si="23"/>
        <v>0.21278935185185185</v>
      </c>
      <c r="E131" s="21">
        <f t="shared" si="24"/>
        <v>4.8506944444444443E-2</v>
      </c>
      <c r="F131" s="20">
        <f t="shared" si="25"/>
        <v>88</v>
      </c>
      <c r="G131" s="22">
        <f t="shared" si="26"/>
        <v>0.57404190086867701</v>
      </c>
    </row>
    <row r="132" spans="1:7" ht="15.5" x14ac:dyDescent="0.35">
      <c r="A132" s="20" t="str">
        <f>[1]Break!A132</f>
        <v>Del_Sonaram Munda (1008642)</v>
      </c>
      <c r="B132" s="20" t="str">
        <f t="shared" si="27"/>
        <v>Sonaram Munda</v>
      </c>
      <c r="C132" s="21">
        <f t="shared" si="22"/>
        <v>0.33380787037037035</v>
      </c>
      <c r="D132" s="21">
        <f t="shared" si="23"/>
        <v>0.1744212962962963</v>
      </c>
      <c r="E132" s="21">
        <f t="shared" si="24"/>
        <v>8.1423611111111113E-2</v>
      </c>
      <c r="F132" s="20">
        <f t="shared" si="25"/>
        <v>89</v>
      </c>
      <c r="G132" s="22">
        <f t="shared" si="26"/>
        <v>0.45359037481363301</v>
      </c>
    </row>
    <row r="133" spans="1:7" ht="15.5" x14ac:dyDescent="0.35">
      <c r="A133" s="20" t="str">
        <f>[1]Break!A133</f>
        <v>Del_Sudama Kumar (1008643)</v>
      </c>
      <c r="B133" s="20" t="str">
        <f t="shared" si="27"/>
        <v>Sudama Kumar</v>
      </c>
      <c r="C133" s="21">
        <f t="shared" si="22"/>
        <v>0.34012731481481484</v>
      </c>
      <c r="D133" s="21">
        <f t="shared" si="23"/>
        <v>0.11028935185185185</v>
      </c>
      <c r="E133" s="21">
        <f t="shared" si="24"/>
        <v>0.19189814814814815</v>
      </c>
      <c r="F133" s="20">
        <f t="shared" si="25"/>
        <v>90</v>
      </c>
      <c r="G133" s="22">
        <f t="shared" si="26"/>
        <v>0.29689998979140397</v>
      </c>
    </row>
    <row r="134" spans="1:7" ht="15.5" x14ac:dyDescent="0.35">
      <c r="A134" s="20" t="str">
        <f>[1]Break!A134</f>
        <v>Del_Sudhir Kumar (1008644)</v>
      </c>
      <c r="B134" s="20" t="str">
        <f t="shared" si="27"/>
        <v>Sudhir Kumar</v>
      </c>
      <c r="C134" s="21">
        <f t="shared" si="22"/>
        <v>0.33354166666666668</v>
      </c>
      <c r="D134" s="21">
        <f t="shared" si="23"/>
        <v>0.19138888888888889</v>
      </c>
      <c r="E134" s="21">
        <f t="shared" si="24"/>
        <v>5.1666666666666666E-2</v>
      </c>
      <c r="F134" s="20">
        <f t="shared" si="25"/>
        <v>91</v>
      </c>
      <c r="G134" s="22">
        <f t="shared" si="26"/>
        <v>0.55729058227496697</v>
      </c>
    </row>
    <row r="135" spans="1:7" ht="15.5" x14ac:dyDescent="0.35">
      <c r="A135" s="20" t="str">
        <f>[1]Break!A135</f>
        <v>Del_Sunil Kumar (1008645)</v>
      </c>
      <c r="B135" s="20" t="str">
        <f t="shared" si="27"/>
        <v>Sunil Kumar</v>
      </c>
      <c r="C135" s="21">
        <f t="shared" si="22"/>
        <v>0.3357175925925926</v>
      </c>
      <c r="D135" s="21">
        <f t="shared" si="23"/>
        <v>0.12403935185185185</v>
      </c>
      <c r="E135" s="21">
        <f t="shared" si="24"/>
        <v>0.1645486111111111</v>
      </c>
      <c r="F135" s="20">
        <f t="shared" si="25"/>
        <v>92</v>
      </c>
      <c r="G135" s="22">
        <f t="shared" si="26"/>
        <v>0.33279321519685601</v>
      </c>
    </row>
    <row r="136" spans="1:7" ht="15.5" x14ac:dyDescent="0.35">
      <c r="A136" s="20" t="str">
        <f>[1]Break!A136</f>
        <v>Del_Sunil Kumar (1008646)</v>
      </c>
      <c r="B136" s="20" t="str">
        <f t="shared" si="27"/>
        <v>Sunil Kumar</v>
      </c>
      <c r="C136" s="21">
        <f t="shared" si="22"/>
        <v>0.33687499999999998</v>
      </c>
      <c r="D136" s="21">
        <f t="shared" si="23"/>
        <v>0.17017361111111112</v>
      </c>
      <c r="E136" s="21">
        <f t="shared" si="24"/>
        <v>9.5034722222222229E-2</v>
      </c>
      <c r="F136" s="20">
        <f t="shared" si="25"/>
        <v>93</v>
      </c>
      <c r="G136" s="22">
        <f t="shared" si="26"/>
        <v>0.472308115165258</v>
      </c>
    </row>
    <row r="137" spans="1:7" ht="15.5" x14ac:dyDescent="0.35">
      <c r="A137" s="20" t="str">
        <f>[1]Break!A137</f>
        <v>Del_Sunita Chawla (1008647)</v>
      </c>
      <c r="B137" s="20" t="str">
        <f t="shared" si="27"/>
        <v>Sunita Chawla</v>
      </c>
      <c r="C137" s="21">
        <f t="shared" si="22"/>
        <v>0.33709490740740738</v>
      </c>
      <c r="D137" s="21">
        <f t="shared" si="23"/>
        <v>0.18885416666666666</v>
      </c>
      <c r="E137" s="21">
        <f t="shared" si="24"/>
        <v>8.7997685185185179E-2</v>
      </c>
      <c r="F137" s="20">
        <f t="shared" si="25"/>
        <v>94</v>
      </c>
      <c r="G137" s="22">
        <f t="shared" si="26"/>
        <v>0.51110729613733896</v>
      </c>
    </row>
    <row r="138" spans="1:7" ht="15.5" x14ac:dyDescent="0.35">
      <c r="A138" s="20" t="str">
        <f>[1]Break!A138</f>
        <v>Del_Sunita Madnani (1008648)</v>
      </c>
      <c r="B138" s="20" t="str">
        <f t="shared" si="27"/>
        <v>Sunita Madnani</v>
      </c>
      <c r="C138" s="21">
        <f t="shared" si="22"/>
        <v>0.34307870370370369</v>
      </c>
      <c r="D138" s="21">
        <f t="shared" si="23"/>
        <v>0.22166666666666668</v>
      </c>
      <c r="E138" s="21">
        <f t="shared" si="24"/>
        <v>4.7395833333333331E-2</v>
      </c>
      <c r="F138" s="20">
        <f t="shared" si="25"/>
        <v>95</v>
      </c>
      <c r="G138" s="22">
        <f t="shared" si="26"/>
        <v>0.58886040078267299</v>
      </c>
    </row>
    <row r="139" spans="1:7" ht="15.5" x14ac:dyDescent="0.35">
      <c r="A139" s="20" t="str">
        <f>[1]Break!A139</f>
        <v>Del_Surendra Kumar (1008649)</v>
      </c>
      <c r="B139" s="20" t="str">
        <f t="shared" si="27"/>
        <v>Surendra Kumar</v>
      </c>
      <c r="C139" s="21">
        <f t="shared" si="22"/>
        <v>0.31192129629629628</v>
      </c>
      <c r="D139" s="21">
        <f t="shared" si="23"/>
        <v>0.12112268518518518</v>
      </c>
      <c r="E139" s="21">
        <f t="shared" si="24"/>
        <v>0.1575462962962963</v>
      </c>
      <c r="F139" s="20">
        <f t="shared" si="25"/>
        <v>96</v>
      </c>
      <c r="G139" s="22">
        <f t="shared" si="26"/>
        <v>0.34289424860853401</v>
      </c>
    </row>
    <row r="140" spans="1:7" ht="15.5" x14ac:dyDescent="0.35">
      <c r="A140" s="20" t="str">
        <f>[1]Break!A140</f>
        <v>Del_Surendranath Thakur (1008650)</v>
      </c>
      <c r="B140" s="20" t="str">
        <f t="shared" si="27"/>
        <v>Surendranath Thakur</v>
      </c>
      <c r="C140" s="21">
        <f t="shared" si="22"/>
        <v>0.3568634259259259</v>
      </c>
      <c r="D140" s="21">
        <f t="shared" si="23"/>
        <v>0.19224537037037037</v>
      </c>
      <c r="E140" s="21">
        <f t="shared" si="24"/>
        <v>9.5196759259259259E-2</v>
      </c>
      <c r="F140" s="20">
        <f t="shared" si="25"/>
        <v>97</v>
      </c>
      <c r="G140" s="22">
        <f t="shared" si="26"/>
        <v>0.497486459313074</v>
      </c>
    </row>
    <row r="141" spans="1:7" ht="15.5" x14ac:dyDescent="0.35">
      <c r="A141" s="20" t="str">
        <f>[1]Break!A141</f>
        <v>Del_Sushma Khandelwal (1008651)</v>
      </c>
      <c r="B141" s="20" t="str">
        <f t="shared" si="27"/>
        <v>Sushma Khandelwal</v>
      </c>
      <c r="C141" s="21">
        <f t="shared" si="22"/>
        <v>0.34392361111111114</v>
      </c>
      <c r="D141" s="21">
        <f t="shared" si="23"/>
        <v>0.20146990740740742</v>
      </c>
      <c r="E141" s="21">
        <f t="shared" si="24"/>
        <v>4.8854166666666664E-2</v>
      </c>
      <c r="F141" s="20">
        <f t="shared" si="25"/>
        <v>98</v>
      </c>
      <c r="G141" s="22">
        <f t="shared" si="26"/>
        <v>0.52431431936732298</v>
      </c>
    </row>
    <row r="142" spans="1:7" ht="15.5" x14ac:dyDescent="0.35">
      <c r="A142" s="20" t="str">
        <f>[1]Break!A142</f>
        <v>Del_Swarnlata Borse (1008652)</v>
      </c>
      <c r="B142" s="20" t="str">
        <f t="shared" si="27"/>
        <v>Swarnlata Borse</v>
      </c>
      <c r="C142" s="21">
        <f t="shared" si="22"/>
        <v>0.34658564814814813</v>
      </c>
      <c r="D142" s="21">
        <f t="shared" si="23"/>
        <v>0.12475694444444445</v>
      </c>
      <c r="E142" s="21">
        <f t="shared" si="24"/>
        <v>0.18931712962962963</v>
      </c>
      <c r="F142" s="20">
        <f t="shared" si="25"/>
        <v>99</v>
      </c>
      <c r="G142" s="22">
        <f t="shared" si="26"/>
        <v>0.31066956086157999</v>
      </c>
    </row>
    <row r="143" spans="1:7" ht="15.5" x14ac:dyDescent="0.35">
      <c r="A143" s="20" t="str">
        <f>[1]Break!A143</f>
        <v>Del_Syed Naved (1008653)</v>
      </c>
      <c r="B143" s="20" t="str">
        <f t="shared" si="27"/>
        <v>Syed Naved</v>
      </c>
      <c r="C143" s="21">
        <f t="shared" si="22"/>
        <v>0.34281250000000002</v>
      </c>
      <c r="D143" s="21">
        <f t="shared" si="23"/>
        <v>0.22505787037037037</v>
      </c>
      <c r="E143" s="21">
        <f t="shared" si="24"/>
        <v>5.1898148148148152E-2</v>
      </c>
      <c r="F143" s="20">
        <f t="shared" si="25"/>
        <v>100</v>
      </c>
      <c r="G143" s="22">
        <f t="shared" si="26"/>
        <v>0.58462473412336702</v>
      </c>
    </row>
    <row r="144" spans="1:7" ht="15.5" x14ac:dyDescent="0.35">
      <c r="A144" s="20" t="str">
        <f>[1]Break!A144</f>
        <v>Del_Syed Saqib (1008654)</v>
      </c>
      <c r="B144" s="20" t="str">
        <f t="shared" si="27"/>
        <v>Syed Saqib</v>
      </c>
      <c r="C144" s="21">
        <f t="shared" si="22"/>
        <v>0.35055555555555556</v>
      </c>
      <c r="D144" s="21">
        <f t="shared" si="23"/>
        <v>0.11953703703703704</v>
      </c>
      <c r="E144" s="21">
        <f t="shared" si="24"/>
        <v>0.21081018518518518</v>
      </c>
      <c r="F144" s="20">
        <f t="shared" si="25"/>
        <v>101</v>
      </c>
      <c r="G144" s="22">
        <f t="shared" si="26"/>
        <v>0.31685816164817698</v>
      </c>
    </row>
    <row r="145" spans="1:7" ht="15.5" x14ac:dyDescent="0.35">
      <c r="A145" s="20" t="str">
        <f>[1]Break!A145</f>
        <v>Del_Syed Sohail (1008655)</v>
      </c>
      <c r="B145" s="20" t="str">
        <f t="shared" si="27"/>
        <v>Syed Sohail</v>
      </c>
      <c r="C145" s="21">
        <f t="shared" si="22"/>
        <v>0.34575231481481483</v>
      </c>
      <c r="D145" s="21">
        <f t="shared" si="23"/>
        <v>0.20268518518518519</v>
      </c>
      <c r="E145" s="21">
        <f t="shared" si="24"/>
        <v>5.0046296296296297E-2</v>
      </c>
      <c r="F145" s="20">
        <f t="shared" si="25"/>
        <v>102</v>
      </c>
      <c r="G145" s="22">
        <f t="shared" si="26"/>
        <v>0.56375322197301903</v>
      </c>
    </row>
    <row r="146" spans="1:7" ht="15.5" x14ac:dyDescent="0.35">
      <c r="A146" s="20" t="str">
        <f>[1]Break!A146</f>
        <v>Del_System Operator (1008656)</v>
      </c>
      <c r="B146" s="20" t="str">
        <f t="shared" si="27"/>
        <v>System Operator</v>
      </c>
      <c r="C146" s="21">
        <f t="shared" si="22"/>
        <v>0.35479166666666667</v>
      </c>
      <c r="D146" s="21">
        <f t="shared" si="23"/>
        <v>0.21916666666666668</v>
      </c>
      <c r="E146" s="21">
        <f t="shared" si="24"/>
        <v>3.8946759259259257E-2</v>
      </c>
      <c r="F146" s="20">
        <f t="shared" si="25"/>
        <v>103</v>
      </c>
      <c r="G146" s="22">
        <f t="shared" si="26"/>
        <v>0.54779147908918902</v>
      </c>
    </row>
    <row r="147" spans="1:7" ht="15.5" x14ac:dyDescent="0.35">
      <c r="A147" s="20" t="str">
        <f>[1]Break!A147</f>
        <v>Del_Tahira Qureshi (1008657)</v>
      </c>
      <c r="B147" s="20" t="str">
        <f t="shared" si="27"/>
        <v>Tahira Qureshi</v>
      </c>
      <c r="C147" s="21">
        <f t="shared" si="22"/>
        <v>0.36542824074074076</v>
      </c>
      <c r="D147" s="21">
        <f t="shared" si="23"/>
        <v>0.15059027777777778</v>
      </c>
      <c r="E147" s="21">
        <f t="shared" si="24"/>
        <v>0.16840277777777779</v>
      </c>
      <c r="F147" s="20">
        <f t="shared" si="25"/>
        <v>104</v>
      </c>
      <c r="G147" s="22">
        <f t="shared" si="26"/>
        <v>0.37965983593576802</v>
      </c>
    </row>
    <row r="148" spans="1:7" ht="15.5" x14ac:dyDescent="0.35">
      <c r="A148" s="20" t="str">
        <f>[1]Break!A148</f>
        <v>Del_Tapas Chakraborty (1008658)</v>
      </c>
      <c r="B148" s="20" t="str">
        <f t="shared" si="27"/>
        <v>Tapas Chakraborty</v>
      </c>
      <c r="C148" s="21">
        <f t="shared" si="22"/>
        <v>0.34370370370370368</v>
      </c>
      <c r="D148" s="21">
        <f t="shared" si="23"/>
        <v>0.21891203703703704</v>
      </c>
      <c r="E148" s="21">
        <f t="shared" si="24"/>
        <v>5.0127314814814812E-2</v>
      </c>
      <c r="F148" s="20">
        <f t="shared" si="25"/>
        <v>105</v>
      </c>
      <c r="G148" s="22">
        <f t="shared" si="26"/>
        <v>0.56529498922413801</v>
      </c>
    </row>
    <row r="149" spans="1:7" ht="15.5" x14ac:dyDescent="0.35">
      <c r="A149" s="20" t="str">
        <f>[1]Break!A149</f>
        <v>Del_Tariq Akhlaq (1008659)</v>
      </c>
      <c r="B149" s="20" t="str">
        <f t="shared" si="27"/>
        <v>Tariq Akhlaq</v>
      </c>
      <c r="C149" s="21">
        <f t="shared" si="22"/>
        <v>0.20827546296296295</v>
      </c>
      <c r="D149" s="21">
        <f t="shared" si="23"/>
        <v>0.1310300925925926</v>
      </c>
      <c r="E149" s="21">
        <f t="shared" si="24"/>
        <v>1.0451388888888889E-2</v>
      </c>
      <c r="F149" s="20">
        <f t="shared" si="25"/>
        <v>106</v>
      </c>
      <c r="G149" s="22">
        <f t="shared" si="26"/>
        <v>0.60261183662128404</v>
      </c>
    </row>
    <row r="150" spans="1:7" ht="15.5" x14ac:dyDescent="0.35">
      <c r="A150" s="20" t="str">
        <f>[1]Break!A150</f>
        <v>Del_Tasneem Khan (1008660)</v>
      </c>
      <c r="B150" s="20" t="str">
        <f t="shared" si="27"/>
        <v>Tasneem Khan</v>
      </c>
      <c r="C150" s="21">
        <f t="shared" si="22"/>
        <v>0.35688657407407409</v>
      </c>
      <c r="D150" s="21">
        <f t="shared" si="23"/>
        <v>0.19362268518518519</v>
      </c>
      <c r="E150" s="21">
        <f t="shared" si="24"/>
        <v>9.5034722222222229E-2</v>
      </c>
      <c r="F150" s="20">
        <f t="shared" si="25"/>
        <v>107</v>
      </c>
      <c r="G150" s="22">
        <f t="shared" si="26"/>
        <v>0.49813523593319298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1F982-ABEB-411E-B89D-C536FB2F48EF}">
  <sheetPr codeName="Sheet8"/>
  <dimension ref="A1:K145"/>
  <sheetViews>
    <sheetView showGridLines="0" tabSelected="1" workbookViewId="0">
      <selection activeCell="K11" sqref="K11"/>
    </sheetView>
  </sheetViews>
  <sheetFormatPr defaultRowHeight="14.5" x14ac:dyDescent="0.35"/>
  <cols>
    <col min="1" max="1" width="13.453125" style="23" bestFit="1" customWidth="1"/>
    <col min="2" max="2" width="39.08984375" style="23" customWidth="1"/>
    <col min="3" max="3" width="8.7265625" style="23"/>
    <col min="4" max="4" width="14.90625" style="23" bestFit="1" customWidth="1"/>
    <col min="5" max="5" width="40.54296875" style="23" customWidth="1"/>
    <col min="6" max="7" width="8.7265625" style="23" hidden="1" customWidth="1"/>
    <col min="8" max="8" width="8.984375E-2" style="23" customWidth="1"/>
    <col min="9" max="16384" width="8.7265625" style="23"/>
  </cols>
  <sheetData>
    <row r="1" spans="1:11" ht="26.5" customHeight="1" x14ac:dyDescent="0.35">
      <c r="A1" s="27"/>
      <c r="B1" s="27"/>
      <c r="D1" s="27"/>
      <c r="E1" s="27"/>
      <c r="F1" s="27"/>
      <c r="G1" s="27"/>
      <c r="H1" s="27"/>
      <c r="K1" s="23">
        <v>3</v>
      </c>
    </row>
    <row r="2" spans="1:11" x14ac:dyDescent="0.35">
      <c r="A2" s="27"/>
      <c r="B2" s="27"/>
      <c r="D2" s="27"/>
      <c r="E2" s="27">
        <v>8</v>
      </c>
      <c r="F2" s="27"/>
      <c r="G2" s="27"/>
      <c r="H2" s="27"/>
    </row>
    <row r="3" spans="1:11" ht="20" customHeight="1" x14ac:dyDescent="0.35">
      <c r="A3" s="28" t="s">
        <v>441</v>
      </c>
      <c r="B3" s="30"/>
      <c r="D3" s="28" t="s">
        <v>446</v>
      </c>
      <c r="E3" s="29"/>
      <c r="F3" s="29"/>
      <c r="G3" s="29"/>
      <c r="H3" s="29"/>
    </row>
    <row r="4" spans="1:11" x14ac:dyDescent="0.35">
      <c r="A4" s="23" t="s">
        <v>81</v>
      </c>
      <c r="B4" s="23" t="s">
        <v>440</v>
      </c>
      <c r="D4" s="23" t="s">
        <v>81</v>
      </c>
      <c r="E4" s="23" t="s">
        <v>442</v>
      </c>
    </row>
    <row r="5" spans="1:11" x14ac:dyDescent="0.35">
      <c r="A5" s="24" t="s">
        <v>443</v>
      </c>
      <c r="B5" s="25">
        <v>0.38646990740740739</v>
      </c>
      <c r="D5" s="24" t="s">
        <v>435</v>
      </c>
      <c r="E5" s="26">
        <v>2.0905948641136138</v>
      </c>
    </row>
    <row r="6" spans="1:11" x14ac:dyDescent="0.35">
      <c r="A6" s="24" t="s">
        <v>435</v>
      </c>
      <c r="B6" s="25">
        <v>1.3668402777777779</v>
      </c>
      <c r="D6" s="24" t="s">
        <v>437</v>
      </c>
      <c r="E6" s="26">
        <v>1.122824596941316</v>
      </c>
    </row>
    <row r="7" spans="1:11" x14ac:dyDescent="0.35">
      <c r="A7" s="24" t="s">
        <v>436</v>
      </c>
      <c r="B7" s="25">
        <v>0.66396990740740747</v>
      </c>
      <c r="D7" s="24" t="s">
        <v>438</v>
      </c>
      <c r="E7" s="26">
        <v>1.7236731368386569</v>
      </c>
    </row>
    <row r="8" spans="1:11" x14ac:dyDescent="0.35">
      <c r="A8" s="24" t="s">
        <v>437</v>
      </c>
      <c r="B8" s="25">
        <v>0.67937500000000006</v>
      </c>
      <c r="D8"/>
      <c r="E8"/>
    </row>
    <row r="9" spans="1:11" x14ac:dyDescent="0.35">
      <c r="A9" s="24" t="s">
        <v>438</v>
      </c>
      <c r="B9" s="25">
        <v>1.0142939814814815</v>
      </c>
      <c r="D9"/>
      <c r="E9"/>
    </row>
    <row r="10" spans="1:11" x14ac:dyDescent="0.35">
      <c r="A10" s="24" t="s">
        <v>444</v>
      </c>
      <c r="B10" s="25">
        <v>0.36775462962962963</v>
      </c>
      <c r="D10"/>
      <c r="E10"/>
    </row>
    <row r="11" spans="1:11" x14ac:dyDescent="0.35">
      <c r="A11" s="24" t="s">
        <v>439</v>
      </c>
      <c r="B11" s="25">
        <v>0.67259259259259263</v>
      </c>
      <c r="D11"/>
      <c r="E11"/>
    </row>
    <row r="12" spans="1:11" x14ac:dyDescent="0.35">
      <c r="A12" s="24" t="s">
        <v>445</v>
      </c>
      <c r="B12" s="25">
        <v>0.36542824074074076</v>
      </c>
      <c r="D12"/>
      <c r="E12"/>
    </row>
    <row r="13" spans="1:11" x14ac:dyDescent="0.35">
      <c r="A13"/>
      <c r="B13"/>
      <c r="D13"/>
      <c r="E13"/>
    </row>
    <row r="14" spans="1:11" x14ac:dyDescent="0.35">
      <c r="A14"/>
      <c r="B14"/>
      <c r="D14"/>
      <c r="E14"/>
    </row>
    <row r="15" spans="1:11" x14ac:dyDescent="0.35">
      <c r="A15"/>
      <c r="B15"/>
      <c r="D15"/>
      <c r="E15"/>
    </row>
    <row r="16" spans="1:11" x14ac:dyDescent="0.35">
      <c r="A16"/>
      <c r="B16"/>
      <c r="D16"/>
      <c r="E16"/>
    </row>
    <row r="17" spans="1:5" x14ac:dyDescent="0.35">
      <c r="A17"/>
      <c r="B17"/>
      <c r="D17"/>
      <c r="E17"/>
    </row>
    <row r="18" spans="1:5" x14ac:dyDescent="0.35">
      <c r="A18"/>
      <c r="B18"/>
      <c r="D18"/>
      <c r="E18"/>
    </row>
    <row r="19" spans="1:5" x14ac:dyDescent="0.35">
      <c r="A19"/>
      <c r="B19"/>
      <c r="D19"/>
      <c r="E19"/>
    </row>
    <row r="20" spans="1:5" x14ac:dyDescent="0.35">
      <c r="A20"/>
      <c r="B20"/>
      <c r="D20"/>
      <c r="E20"/>
    </row>
    <row r="21" spans="1:5" x14ac:dyDescent="0.35">
      <c r="A21"/>
      <c r="B21"/>
      <c r="D21"/>
      <c r="E21"/>
    </row>
    <row r="22" spans="1:5" x14ac:dyDescent="0.35">
      <c r="A22"/>
      <c r="B22"/>
      <c r="D22"/>
      <c r="E22"/>
    </row>
    <row r="23" spans="1:5" x14ac:dyDescent="0.35">
      <c r="A23"/>
      <c r="B23"/>
      <c r="D23"/>
      <c r="E23"/>
    </row>
    <row r="24" spans="1:5" x14ac:dyDescent="0.35">
      <c r="A24"/>
      <c r="B24"/>
      <c r="D24"/>
      <c r="E24"/>
    </row>
    <row r="25" spans="1:5" x14ac:dyDescent="0.35">
      <c r="A25"/>
      <c r="B25"/>
      <c r="D25"/>
      <c r="E25"/>
    </row>
    <row r="26" spans="1:5" x14ac:dyDescent="0.35">
      <c r="A26"/>
      <c r="B26"/>
      <c r="D26"/>
      <c r="E26"/>
    </row>
    <row r="27" spans="1:5" x14ac:dyDescent="0.35">
      <c r="A27"/>
      <c r="B27"/>
      <c r="D27"/>
      <c r="E27"/>
    </row>
    <row r="28" spans="1:5" x14ac:dyDescent="0.35">
      <c r="A28"/>
      <c r="B28"/>
      <c r="D28"/>
      <c r="E28"/>
    </row>
    <row r="29" spans="1:5" x14ac:dyDescent="0.35">
      <c r="A29"/>
      <c r="B29"/>
      <c r="D29"/>
      <c r="E29"/>
    </row>
    <row r="30" spans="1:5" x14ac:dyDescent="0.35">
      <c r="A30"/>
      <c r="B30"/>
      <c r="D30"/>
      <c r="E30"/>
    </row>
    <row r="31" spans="1:5" x14ac:dyDescent="0.35">
      <c r="A31"/>
      <c r="B31"/>
      <c r="D31"/>
      <c r="E31"/>
    </row>
    <row r="32" spans="1:5" x14ac:dyDescent="0.35">
      <c r="A32"/>
      <c r="B32"/>
      <c r="D32"/>
      <c r="E32"/>
    </row>
    <row r="33" spans="1:5" x14ac:dyDescent="0.35">
      <c r="A33"/>
      <c r="B33"/>
      <c r="D33"/>
      <c r="E33"/>
    </row>
    <row r="34" spans="1:5" x14ac:dyDescent="0.35">
      <c r="A34"/>
      <c r="B34"/>
      <c r="D34"/>
      <c r="E34"/>
    </row>
    <row r="35" spans="1:5" x14ac:dyDescent="0.35">
      <c r="A35"/>
      <c r="B35"/>
      <c r="D35"/>
      <c r="E35"/>
    </row>
    <row r="36" spans="1:5" x14ac:dyDescent="0.35">
      <c r="A36"/>
      <c r="B36"/>
      <c r="D36"/>
      <c r="E36"/>
    </row>
    <row r="37" spans="1:5" x14ac:dyDescent="0.35">
      <c r="A37"/>
      <c r="B37"/>
      <c r="D37"/>
      <c r="E37"/>
    </row>
    <row r="38" spans="1:5" x14ac:dyDescent="0.35">
      <c r="A38"/>
      <c r="B38"/>
      <c r="D38"/>
      <c r="E38"/>
    </row>
    <row r="39" spans="1:5" x14ac:dyDescent="0.35">
      <c r="A39"/>
      <c r="B39"/>
      <c r="D39"/>
      <c r="E39"/>
    </row>
    <row r="40" spans="1:5" x14ac:dyDescent="0.35">
      <c r="A40"/>
      <c r="B40"/>
      <c r="D40"/>
      <c r="E40"/>
    </row>
    <row r="41" spans="1:5" x14ac:dyDescent="0.35">
      <c r="A41"/>
      <c r="B41"/>
      <c r="D41"/>
      <c r="E41"/>
    </row>
    <row r="42" spans="1:5" x14ac:dyDescent="0.35">
      <c r="A42"/>
      <c r="B42"/>
      <c r="D42"/>
      <c r="E42"/>
    </row>
    <row r="43" spans="1:5" x14ac:dyDescent="0.35">
      <c r="A43"/>
      <c r="B43"/>
      <c r="D43"/>
      <c r="E43"/>
    </row>
    <row r="44" spans="1:5" x14ac:dyDescent="0.35">
      <c r="A44"/>
      <c r="B44"/>
      <c r="D44"/>
      <c r="E44"/>
    </row>
    <row r="45" spans="1:5" x14ac:dyDescent="0.35">
      <c r="A45"/>
      <c r="B45"/>
      <c r="D45"/>
      <c r="E45"/>
    </row>
    <row r="46" spans="1:5" x14ac:dyDescent="0.35">
      <c r="A46"/>
      <c r="B46"/>
      <c r="D46"/>
      <c r="E46"/>
    </row>
    <row r="47" spans="1:5" x14ac:dyDescent="0.35">
      <c r="A47"/>
      <c r="B47"/>
      <c r="D47"/>
      <c r="E47"/>
    </row>
    <row r="48" spans="1:5" x14ac:dyDescent="0.35">
      <c r="A48"/>
      <c r="B48"/>
      <c r="D48"/>
      <c r="E48"/>
    </row>
    <row r="49" spans="1:5" x14ac:dyDescent="0.35">
      <c r="A49"/>
      <c r="B49"/>
      <c r="D49"/>
      <c r="E49"/>
    </row>
    <row r="50" spans="1:5" x14ac:dyDescent="0.35">
      <c r="A50"/>
      <c r="B50"/>
      <c r="D50"/>
      <c r="E50"/>
    </row>
    <row r="51" spans="1:5" x14ac:dyDescent="0.35">
      <c r="A51"/>
      <c r="B51"/>
      <c r="D51"/>
      <c r="E51"/>
    </row>
    <row r="52" spans="1:5" x14ac:dyDescent="0.35">
      <c r="A52"/>
      <c r="B52"/>
      <c r="D52"/>
      <c r="E52"/>
    </row>
    <row r="53" spans="1:5" x14ac:dyDescent="0.35">
      <c r="A53"/>
      <c r="B53"/>
      <c r="D53"/>
      <c r="E53"/>
    </row>
    <row r="54" spans="1:5" x14ac:dyDescent="0.35">
      <c r="A54"/>
      <c r="B54"/>
      <c r="D54"/>
      <c r="E54"/>
    </row>
    <row r="55" spans="1:5" x14ac:dyDescent="0.35">
      <c r="A55"/>
      <c r="B55"/>
      <c r="D55"/>
      <c r="E55"/>
    </row>
    <row r="56" spans="1:5" x14ac:dyDescent="0.35">
      <c r="A56"/>
      <c r="B56"/>
      <c r="D56"/>
      <c r="E56"/>
    </row>
    <row r="57" spans="1:5" x14ac:dyDescent="0.35">
      <c r="A57"/>
      <c r="B57"/>
      <c r="D57"/>
      <c r="E57"/>
    </row>
    <row r="58" spans="1:5" x14ac:dyDescent="0.35">
      <c r="A58"/>
      <c r="B58"/>
      <c r="D58"/>
      <c r="E58"/>
    </row>
    <row r="59" spans="1:5" x14ac:dyDescent="0.35">
      <c r="A59"/>
      <c r="B59"/>
      <c r="D59"/>
      <c r="E59"/>
    </row>
    <row r="60" spans="1:5" x14ac:dyDescent="0.35">
      <c r="A60"/>
      <c r="B60"/>
      <c r="D60"/>
      <c r="E60"/>
    </row>
    <row r="61" spans="1:5" x14ac:dyDescent="0.35">
      <c r="A61"/>
      <c r="B61"/>
      <c r="D61"/>
      <c r="E61"/>
    </row>
    <row r="62" spans="1:5" x14ac:dyDescent="0.35">
      <c r="A62"/>
      <c r="B62"/>
      <c r="D62"/>
      <c r="E62"/>
    </row>
    <row r="63" spans="1:5" x14ac:dyDescent="0.35">
      <c r="A63"/>
      <c r="B63"/>
      <c r="D63"/>
      <c r="E63"/>
    </row>
    <row r="64" spans="1:5" x14ac:dyDescent="0.35">
      <c r="A64"/>
      <c r="B64"/>
      <c r="D64"/>
      <c r="E64"/>
    </row>
    <row r="65" spans="1:5" x14ac:dyDescent="0.35">
      <c r="A65"/>
      <c r="B65"/>
      <c r="D65"/>
      <c r="E65"/>
    </row>
    <row r="66" spans="1:5" x14ac:dyDescent="0.35">
      <c r="A66"/>
      <c r="B66"/>
      <c r="D66"/>
      <c r="E66"/>
    </row>
    <row r="67" spans="1:5" x14ac:dyDescent="0.35">
      <c r="A67"/>
      <c r="B67"/>
      <c r="D67"/>
      <c r="E67"/>
    </row>
    <row r="68" spans="1:5" x14ac:dyDescent="0.35">
      <c r="A68"/>
      <c r="B68"/>
      <c r="D68"/>
      <c r="E68"/>
    </row>
    <row r="69" spans="1:5" x14ac:dyDescent="0.35">
      <c r="A69"/>
      <c r="B69"/>
      <c r="D69"/>
      <c r="E69"/>
    </row>
    <row r="70" spans="1:5" x14ac:dyDescent="0.35">
      <c r="A70"/>
      <c r="B70"/>
      <c r="D70"/>
      <c r="E70"/>
    </row>
    <row r="71" spans="1:5" x14ac:dyDescent="0.35">
      <c r="A71"/>
      <c r="B71"/>
      <c r="D71"/>
      <c r="E71"/>
    </row>
    <row r="72" spans="1:5" x14ac:dyDescent="0.35">
      <c r="A72"/>
      <c r="B72"/>
      <c r="D72"/>
      <c r="E72"/>
    </row>
    <row r="73" spans="1:5" x14ac:dyDescent="0.35">
      <c r="A73"/>
      <c r="B73"/>
      <c r="D73"/>
      <c r="E73"/>
    </row>
    <row r="74" spans="1:5" x14ac:dyDescent="0.35">
      <c r="A74"/>
      <c r="B74"/>
      <c r="D74"/>
      <c r="E74"/>
    </row>
    <row r="75" spans="1:5" x14ac:dyDescent="0.35">
      <c r="A75"/>
      <c r="B75"/>
      <c r="D75"/>
      <c r="E75"/>
    </row>
    <row r="76" spans="1:5" x14ac:dyDescent="0.35">
      <c r="A76"/>
      <c r="B76"/>
      <c r="D76"/>
      <c r="E76"/>
    </row>
    <row r="77" spans="1:5" x14ac:dyDescent="0.35">
      <c r="A77"/>
      <c r="B77"/>
      <c r="D77"/>
      <c r="E77"/>
    </row>
    <row r="78" spans="1:5" x14ac:dyDescent="0.35">
      <c r="A78"/>
      <c r="B78"/>
      <c r="D78"/>
      <c r="E78"/>
    </row>
    <row r="79" spans="1:5" x14ac:dyDescent="0.35">
      <c r="A79"/>
      <c r="B79"/>
      <c r="D79"/>
      <c r="E79"/>
    </row>
    <row r="80" spans="1:5" x14ac:dyDescent="0.35">
      <c r="A80"/>
      <c r="B80"/>
      <c r="D80"/>
      <c r="E80"/>
    </row>
    <row r="81" spans="1:5" x14ac:dyDescent="0.35">
      <c r="A81"/>
      <c r="B81"/>
      <c r="D81"/>
      <c r="E81"/>
    </row>
    <row r="82" spans="1:5" x14ac:dyDescent="0.35">
      <c r="A82"/>
      <c r="B82"/>
      <c r="D82"/>
      <c r="E82"/>
    </row>
    <row r="83" spans="1:5" x14ac:dyDescent="0.35">
      <c r="A83"/>
      <c r="B83"/>
      <c r="D83"/>
      <c r="E83"/>
    </row>
    <row r="84" spans="1:5" x14ac:dyDescent="0.35">
      <c r="A84"/>
      <c r="B84"/>
      <c r="D84"/>
      <c r="E84"/>
    </row>
    <row r="85" spans="1:5" x14ac:dyDescent="0.35">
      <c r="A85"/>
      <c r="B85"/>
      <c r="D85"/>
      <c r="E85"/>
    </row>
    <row r="86" spans="1:5" x14ac:dyDescent="0.35">
      <c r="A86"/>
      <c r="B86"/>
      <c r="D86"/>
      <c r="E86"/>
    </row>
    <row r="87" spans="1:5" x14ac:dyDescent="0.35">
      <c r="A87"/>
      <c r="B87"/>
      <c r="D87"/>
      <c r="E87"/>
    </row>
    <row r="88" spans="1:5" x14ac:dyDescent="0.35">
      <c r="A88"/>
      <c r="B88"/>
      <c r="D88"/>
      <c r="E88"/>
    </row>
    <row r="89" spans="1:5" x14ac:dyDescent="0.35">
      <c r="A89"/>
      <c r="B89"/>
      <c r="D89"/>
      <c r="E89"/>
    </row>
    <row r="90" spans="1:5" x14ac:dyDescent="0.35">
      <c r="A90"/>
      <c r="B90"/>
      <c r="D90"/>
      <c r="E90"/>
    </row>
    <row r="91" spans="1:5" x14ac:dyDescent="0.35">
      <c r="A91"/>
      <c r="B91"/>
      <c r="D91"/>
      <c r="E91"/>
    </row>
    <row r="92" spans="1:5" x14ac:dyDescent="0.35">
      <c r="A92"/>
      <c r="B92"/>
      <c r="D92"/>
      <c r="E92"/>
    </row>
    <row r="93" spans="1:5" x14ac:dyDescent="0.35">
      <c r="A93"/>
      <c r="B93"/>
      <c r="D93"/>
      <c r="E93"/>
    </row>
    <row r="94" spans="1:5" x14ac:dyDescent="0.35">
      <c r="A94"/>
      <c r="B94"/>
      <c r="D94"/>
      <c r="E94"/>
    </row>
    <row r="95" spans="1:5" x14ac:dyDescent="0.35">
      <c r="A95"/>
      <c r="B95"/>
      <c r="D95"/>
      <c r="E95"/>
    </row>
    <row r="96" spans="1:5" x14ac:dyDescent="0.35">
      <c r="A96"/>
      <c r="B96"/>
      <c r="D96"/>
      <c r="E96"/>
    </row>
    <row r="97" spans="1:5" x14ac:dyDescent="0.35">
      <c r="A97"/>
      <c r="B97"/>
      <c r="D97"/>
      <c r="E97"/>
    </row>
    <row r="98" spans="1:5" x14ac:dyDescent="0.35">
      <c r="A98"/>
      <c r="B98"/>
      <c r="D98"/>
      <c r="E98"/>
    </row>
    <row r="99" spans="1:5" x14ac:dyDescent="0.35">
      <c r="A99"/>
      <c r="B99"/>
      <c r="D99"/>
      <c r="E99"/>
    </row>
    <row r="100" spans="1:5" x14ac:dyDescent="0.35">
      <c r="A100"/>
      <c r="B100"/>
      <c r="D100"/>
      <c r="E100"/>
    </row>
    <row r="101" spans="1:5" x14ac:dyDescent="0.35">
      <c r="A101"/>
      <c r="B101"/>
      <c r="D101"/>
      <c r="E101"/>
    </row>
    <row r="102" spans="1:5" x14ac:dyDescent="0.35">
      <c r="A102"/>
      <c r="B102"/>
      <c r="D102"/>
      <c r="E102"/>
    </row>
    <row r="103" spans="1:5" x14ac:dyDescent="0.35">
      <c r="A103"/>
      <c r="B103"/>
      <c r="D103"/>
      <c r="E103"/>
    </row>
    <row r="104" spans="1:5" x14ac:dyDescent="0.35">
      <c r="A104"/>
      <c r="B104"/>
      <c r="D104"/>
      <c r="E104"/>
    </row>
    <row r="105" spans="1:5" x14ac:dyDescent="0.35">
      <c r="A105"/>
      <c r="B105"/>
      <c r="D105"/>
      <c r="E105"/>
    </row>
    <row r="106" spans="1:5" x14ac:dyDescent="0.35">
      <c r="A106"/>
      <c r="B106"/>
      <c r="D106"/>
      <c r="E106"/>
    </row>
    <row r="107" spans="1:5" x14ac:dyDescent="0.35">
      <c r="A107"/>
      <c r="B107"/>
      <c r="D107"/>
      <c r="E107"/>
    </row>
    <row r="108" spans="1:5" x14ac:dyDescent="0.35">
      <c r="A108"/>
      <c r="B108"/>
      <c r="D108"/>
      <c r="E108"/>
    </row>
    <row r="109" spans="1:5" x14ac:dyDescent="0.35">
      <c r="A109"/>
      <c r="B109"/>
      <c r="D109"/>
      <c r="E109"/>
    </row>
    <row r="110" spans="1:5" x14ac:dyDescent="0.35">
      <c r="A110"/>
      <c r="B110"/>
      <c r="D110"/>
      <c r="E110"/>
    </row>
    <row r="111" spans="1:5" x14ac:dyDescent="0.35">
      <c r="A111"/>
      <c r="B111"/>
      <c r="D111"/>
      <c r="E111"/>
    </row>
    <row r="112" spans="1:5" x14ac:dyDescent="0.35">
      <c r="A112"/>
      <c r="B112"/>
      <c r="D112"/>
      <c r="E112"/>
    </row>
    <row r="113" spans="1:5" x14ac:dyDescent="0.35">
      <c r="A113"/>
      <c r="B113"/>
      <c r="D113"/>
      <c r="E113"/>
    </row>
    <row r="114" spans="1:5" x14ac:dyDescent="0.35">
      <c r="A114"/>
      <c r="B114"/>
      <c r="D114"/>
      <c r="E114"/>
    </row>
    <row r="115" spans="1:5" x14ac:dyDescent="0.35">
      <c r="A115"/>
      <c r="B115"/>
      <c r="D115"/>
      <c r="E115"/>
    </row>
    <row r="116" spans="1:5" x14ac:dyDescent="0.35">
      <c r="A116"/>
      <c r="B116"/>
      <c r="D116"/>
      <c r="E116"/>
    </row>
    <row r="117" spans="1:5" x14ac:dyDescent="0.35">
      <c r="A117"/>
      <c r="B117"/>
      <c r="D117"/>
      <c r="E117"/>
    </row>
    <row r="118" spans="1:5" x14ac:dyDescent="0.35">
      <c r="A118"/>
      <c r="B118"/>
      <c r="D118"/>
      <c r="E118"/>
    </row>
    <row r="119" spans="1:5" x14ac:dyDescent="0.35">
      <c r="A119"/>
      <c r="B119"/>
      <c r="D119"/>
      <c r="E119"/>
    </row>
    <row r="120" spans="1:5" x14ac:dyDescent="0.35">
      <c r="A120"/>
      <c r="B120"/>
      <c r="D120"/>
      <c r="E120"/>
    </row>
    <row r="121" spans="1:5" x14ac:dyDescent="0.35">
      <c r="A121"/>
      <c r="B121"/>
      <c r="D121"/>
      <c r="E121"/>
    </row>
    <row r="122" spans="1:5" x14ac:dyDescent="0.35">
      <c r="A122"/>
      <c r="B122"/>
      <c r="D122"/>
      <c r="E122"/>
    </row>
    <row r="123" spans="1:5" x14ac:dyDescent="0.35">
      <c r="A123"/>
      <c r="B123"/>
      <c r="D123"/>
      <c r="E123"/>
    </row>
    <row r="124" spans="1:5" x14ac:dyDescent="0.35">
      <c r="A124"/>
      <c r="B124"/>
      <c r="D124"/>
      <c r="E124"/>
    </row>
    <row r="125" spans="1:5" x14ac:dyDescent="0.35">
      <c r="A125"/>
      <c r="B125"/>
      <c r="D125"/>
      <c r="E125"/>
    </row>
    <row r="126" spans="1:5" x14ac:dyDescent="0.35">
      <c r="A126"/>
      <c r="B126"/>
      <c r="D126"/>
      <c r="E126"/>
    </row>
    <row r="127" spans="1:5" x14ac:dyDescent="0.35">
      <c r="A127"/>
      <c r="B127"/>
      <c r="D127"/>
      <c r="E127"/>
    </row>
    <row r="128" spans="1:5" x14ac:dyDescent="0.35">
      <c r="A128"/>
      <c r="B128"/>
      <c r="D128"/>
      <c r="E128"/>
    </row>
    <row r="129" spans="1:5" x14ac:dyDescent="0.35">
      <c r="A129"/>
      <c r="B129"/>
      <c r="D129"/>
      <c r="E129"/>
    </row>
    <row r="130" spans="1:5" x14ac:dyDescent="0.35">
      <c r="A130"/>
      <c r="B130"/>
      <c r="D130"/>
      <c r="E130"/>
    </row>
    <row r="131" spans="1:5" x14ac:dyDescent="0.35">
      <c r="A131"/>
      <c r="B131"/>
      <c r="D131"/>
      <c r="E131"/>
    </row>
    <row r="132" spans="1:5" x14ac:dyDescent="0.35">
      <c r="A132"/>
      <c r="B132"/>
      <c r="D132"/>
      <c r="E132"/>
    </row>
    <row r="133" spans="1:5" x14ac:dyDescent="0.35">
      <c r="A133"/>
      <c r="B133"/>
      <c r="D133"/>
      <c r="E133"/>
    </row>
    <row r="134" spans="1:5" x14ac:dyDescent="0.35">
      <c r="A134"/>
      <c r="B134"/>
      <c r="D134"/>
      <c r="E134"/>
    </row>
    <row r="135" spans="1:5" x14ac:dyDescent="0.35">
      <c r="A135"/>
      <c r="B135"/>
      <c r="D135"/>
      <c r="E135"/>
    </row>
    <row r="136" spans="1:5" x14ac:dyDescent="0.35">
      <c r="A136"/>
      <c r="B136"/>
      <c r="D136"/>
      <c r="E136"/>
    </row>
    <row r="137" spans="1:5" x14ac:dyDescent="0.35">
      <c r="A137"/>
      <c r="B137"/>
      <c r="D137"/>
      <c r="E137"/>
    </row>
    <row r="138" spans="1:5" x14ac:dyDescent="0.35">
      <c r="A138"/>
      <c r="B138"/>
      <c r="D138"/>
      <c r="E138"/>
    </row>
    <row r="139" spans="1:5" x14ac:dyDescent="0.35">
      <c r="A139"/>
      <c r="B139"/>
      <c r="D139"/>
      <c r="E139"/>
    </row>
    <row r="140" spans="1:5" x14ac:dyDescent="0.35">
      <c r="A140"/>
      <c r="B140"/>
      <c r="D140"/>
      <c r="E140"/>
    </row>
    <row r="141" spans="1:5" x14ac:dyDescent="0.35">
      <c r="A141"/>
      <c r="B141"/>
      <c r="D141"/>
      <c r="E141"/>
    </row>
    <row r="142" spans="1:5" x14ac:dyDescent="0.35">
      <c r="A142"/>
      <c r="B142"/>
      <c r="D142"/>
      <c r="E142"/>
    </row>
    <row r="143" spans="1:5" x14ac:dyDescent="0.35">
      <c r="A143"/>
      <c r="B143"/>
      <c r="D143"/>
      <c r="E143"/>
    </row>
    <row r="144" spans="1:5" x14ac:dyDescent="0.35">
      <c r="A144"/>
      <c r="B144"/>
      <c r="D144"/>
      <c r="E144"/>
    </row>
    <row r="145" spans="1:5" x14ac:dyDescent="0.35">
      <c r="A145"/>
      <c r="B145"/>
      <c r="D145"/>
      <c r="E145"/>
    </row>
  </sheetData>
  <mergeCells count="4">
    <mergeCell ref="D1:H2"/>
    <mergeCell ref="D3:H3"/>
    <mergeCell ref="A3:B3"/>
    <mergeCell ref="A1:B2"/>
  </mergeCell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43" r:id="rId5" name="Spinner 3">
              <controlPr defaultSize="0" autoPict="0" macro="[0]!spinner3_code">
                <anchor moveWithCells="1" sizeWithCells="1">
                  <from>
                    <xdr:col>1</xdr:col>
                    <xdr:colOff>882650</xdr:colOff>
                    <xdr:row>0</xdr:row>
                    <xdr:rowOff>63500</xdr:rowOff>
                  </from>
                  <to>
                    <xdr:col>1</xdr:col>
                    <xdr:colOff>1327150</xdr:colOff>
                    <xdr:row>1</xdr:row>
                    <xdr:rowOff>152400</xdr:rowOff>
                  </to>
                </anchor>
              </controlPr>
            </control>
          </mc:Choice>
        </mc:AlternateContent>
        <mc:AlternateContent xmlns:mc="http://schemas.openxmlformats.org/markup-compatibility/2006">
          <mc:Choice Requires="x14">
            <control shapeId="10244" r:id="rId6" name="Spinner 4">
              <controlPr defaultSize="0" autoPict="0" macro="[0]!Macro1">
                <anchor moveWithCells="1" sizeWithCells="1">
                  <from>
                    <xdr:col>4</xdr:col>
                    <xdr:colOff>863600</xdr:colOff>
                    <xdr:row>0</xdr:row>
                    <xdr:rowOff>19050</xdr:rowOff>
                  </from>
                  <to>
                    <xdr:col>4</xdr:col>
                    <xdr:colOff>1270000</xdr:colOff>
                    <xdr:row>1</xdr:row>
                    <xdr:rowOff>165100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Sheet4</vt:lpstr>
      <vt:lpstr>Sheet5</vt:lpstr>
      <vt:lpstr>Sheet7</vt:lpstr>
      <vt:lpstr>Sheet10</vt:lpstr>
      <vt:lpstr>Sheet8</vt:lpstr>
      <vt:lpstr>Sheet1</vt:lpstr>
      <vt:lpstr>summery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Rupesh Ambule</dc:creator>
  <cp:lastModifiedBy>Rupesh Ambule</cp:lastModifiedBy>
  <dcterms:created xsi:type="dcterms:W3CDTF">2025-06-13T09:04:22Z</dcterms:created>
  <dcterms:modified xsi:type="dcterms:W3CDTF">2025-07-16T16:31:34Z</dcterms:modified>
</cp:coreProperties>
</file>